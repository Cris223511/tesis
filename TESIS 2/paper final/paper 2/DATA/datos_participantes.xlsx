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HRISTOPHER\Documents\TESIS\TESIS 2\paper final\paper 2\DATA\"/>
    </mc:Choice>
  </mc:AlternateContent>
  <xr:revisionPtr revIDLastSave="0" documentId="13_ncr:1_{7341B8CE-FA60-4D2E-957D-3BCF3E041C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 Participantes" sheetId="1" r:id="rId1"/>
    <sheet name="Estadísticas" sheetId="2" r:id="rId2"/>
    <sheet name="Diccionario Datos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2" i="1"/>
  <c r="B5" i="2" s="1"/>
  <c r="C21" i="2"/>
  <c r="B21" i="2"/>
  <c r="B16" i="2"/>
  <c r="C16" i="2"/>
  <c r="B17" i="2"/>
  <c r="C17" i="2"/>
  <c r="B18" i="2"/>
  <c r="C18" i="2"/>
  <c r="B19" i="2"/>
  <c r="C19" i="2"/>
  <c r="B20" i="2"/>
  <c r="C20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2" i="1"/>
  <c r="B10" i="2"/>
  <c r="B9" i="2"/>
  <c r="B8" i="2"/>
  <c r="B7" i="2"/>
  <c r="B6" i="2" l="1"/>
</calcChain>
</file>

<file path=xl/sharedStrings.xml><?xml version="1.0" encoding="utf-8"?>
<sst xmlns="http://schemas.openxmlformats.org/spreadsheetml/2006/main" count="1271" uniqueCount="372">
  <si>
    <t>ID_Participante</t>
  </si>
  <si>
    <t>DNI</t>
  </si>
  <si>
    <t>Nombres</t>
  </si>
  <si>
    <t>Apellidos</t>
  </si>
  <si>
    <t>Fecha_Prueba</t>
  </si>
  <si>
    <t>Edad</t>
  </si>
  <si>
    <t>Sexo</t>
  </si>
  <si>
    <t>Nivel_TEA</t>
  </si>
  <si>
    <t>Institucion</t>
  </si>
  <si>
    <t>Ciudad</t>
  </si>
  <si>
    <t>Distrito</t>
  </si>
  <si>
    <t>Sesion</t>
  </si>
  <si>
    <t>Sesiones_Completadas</t>
  </si>
  <si>
    <t>Duracion_Minutos</t>
  </si>
  <si>
    <t>Emociones_Correctas</t>
  </si>
  <si>
    <t>Emociones_Incorrectas</t>
  </si>
  <si>
    <t>Precision_Porcentaje</t>
  </si>
  <si>
    <t>Tiempo_Respuesta_Promedio_Seg</t>
  </si>
  <si>
    <t>Nivel_Dificultad</t>
  </si>
  <si>
    <t>Intentos_Por_Emocion</t>
  </si>
  <si>
    <t>Satisfaccion_Usuario</t>
  </si>
  <si>
    <t>Facilidad_Uso</t>
  </si>
  <si>
    <t>Continuaria_Usando</t>
  </si>
  <si>
    <t>Observaciones</t>
  </si>
  <si>
    <t>P001</t>
  </si>
  <si>
    <t>72845123</t>
  </si>
  <si>
    <t>Carlos José</t>
  </si>
  <si>
    <t>Ramírez Sánchez</t>
  </si>
  <si>
    <t>M</t>
  </si>
  <si>
    <t>TEA Nivel 1</t>
  </si>
  <si>
    <t>Centro TEA Tumbes</t>
  </si>
  <si>
    <t>Tumbes</t>
  </si>
  <si>
    <t>Fácil</t>
  </si>
  <si>
    <t>No</t>
  </si>
  <si>
    <t>Excelente progreso en reconocimiento emocional</t>
  </si>
  <si>
    <t>P002</t>
  </si>
  <si>
    <t>71234567</t>
  </si>
  <si>
    <t>María Elena</t>
  </si>
  <si>
    <t>Torres Vega</t>
  </si>
  <si>
    <t>F</t>
  </si>
  <si>
    <t>Síndrome de Asperger</t>
  </si>
  <si>
    <t>Centro TEA Corrales</t>
  </si>
  <si>
    <t>Corrales</t>
  </si>
  <si>
    <t>Medio</t>
  </si>
  <si>
    <t>Sí</t>
  </si>
  <si>
    <t>P003</t>
  </si>
  <si>
    <t>74556789</t>
  </si>
  <si>
    <t>Jocelyn Luisa</t>
  </si>
  <si>
    <t>Mendoza Castro</t>
  </si>
  <si>
    <t>TEA Nivel 2</t>
  </si>
  <si>
    <t>Centro TEA Zarumilla</t>
  </si>
  <si>
    <t>Zarumilla</t>
  </si>
  <si>
    <t>Muy motivado con el formato de juego</t>
  </si>
  <si>
    <t>Neutral</t>
  </si>
  <si>
    <t>Mostró gran interés en la actividad</t>
  </si>
  <si>
    <t>Difícil</t>
  </si>
  <si>
    <t>Pidió repetir algunos ejercicios</t>
  </si>
  <si>
    <t>P004</t>
  </si>
  <si>
    <t>74567890</t>
  </si>
  <si>
    <t>Ana Patricia</t>
  </si>
  <si>
    <t>García Flores</t>
  </si>
  <si>
    <t>P005</t>
  </si>
  <si>
    <t>72678901</t>
  </si>
  <si>
    <t>Pedro Andrés</t>
  </si>
  <si>
    <t>Huamán Ruiz</t>
  </si>
  <si>
    <t>TEA Nivel 3</t>
  </si>
  <si>
    <t>Centro TEA San Jacinto</t>
  </si>
  <si>
    <t>San Jacinto</t>
  </si>
  <si>
    <t>P006</t>
  </si>
  <si>
    <t>71789012</t>
  </si>
  <si>
    <t>Lucia Fernanda</t>
  </si>
  <si>
    <t>Pérez Morales</t>
  </si>
  <si>
    <t>Necesita más práctica con emociones sutiles</t>
  </si>
  <si>
    <t>P007</t>
  </si>
  <si>
    <t>73890123</t>
  </si>
  <si>
    <t>Roberto Carlos</t>
  </si>
  <si>
    <t>Díaz Quispe</t>
  </si>
  <si>
    <t>Centro TEA Aguas Verdes</t>
  </si>
  <si>
    <t>Aguas Verdes</t>
  </si>
  <si>
    <t>Se distrajo en algunos momentos</t>
  </si>
  <si>
    <t>P008</t>
  </si>
  <si>
    <t>74901234</t>
  </si>
  <si>
    <t>Carmen Rosa</t>
  </si>
  <si>
    <t>Velásquez Núñez</t>
  </si>
  <si>
    <t>Buena concentración durante toda la sesión</t>
  </si>
  <si>
    <t>P009</t>
  </si>
  <si>
    <t>72012345</t>
  </si>
  <si>
    <t>Miguel Ángel</t>
  </si>
  <si>
    <t>Salazar Gómez</t>
  </si>
  <si>
    <t>Centro TEA La Cruz</t>
  </si>
  <si>
    <t>La Cruz</t>
  </si>
  <si>
    <t>P010</t>
  </si>
  <si>
    <t>71123456</t>
  </si>
  <si>
    <t>Sandra Milena</t>
  </si>
  <si>
    <t>Rojas Paredes</t>
  </si>
  <si>
    <t>P011</t>
  </si>
  <si>
    <t>72345677</t>
  </si>
  <si>
    <t>Daniel Eduardo</t>
  </si>
  <si>
    <t>Chávez Silupu</t>
  </si>
  <si>
    <t>Centro TEA Pampas de Hospital</t>
  </si>
  <si>
    <t>Pampas de Hospital</t>
  </si>
  <si>
    <t>P012</t>
  </si>
  <si>
    <t>74345678</t>
  </si>
  <si>
    <t>Gabriela Isabel</t>
  </si>
  <si>
    <t>Castillo Reyes</t>
  </si>
  <si>
    <t>P013</t>
  </si>
  <si>
    <t>72456789</t>
  </si>
  <si>
    <t>Fernando José</t>
  </si>
  <si>
    <t>Vargas Medina</t>
  </si>
  <si>
    <t>Requirió apoyo adicional del terapeuta</t>
  </si>
  <si>
    <t>P014</t>
  </si>
  <si>
    <t>71567890</t>
  </si>
  <si>
    <t>Paola Andrea</t>
  </si>
  <si>
    <t>Martínez Guzmán</t>
  </si>
  <si>
    <t>P015</t>
  </si>
  <si>
    <t>73678901</t>
  </si>
  <si>
    <t>Ricardo Manuel</t>
  </si>
  <si>
    <t>Espinoza León</t>
  </si>
  <si>
    <t>Centro TEA San Juan de la Virgen</t>
  </si>
  <si>
    <t>San Juan de la Virgen</t>
  </si>
  <si>
    <t>P016</t>
  </si>
  <si>
    <t>74789012</t>
  </si>
  <si>
    <t>Verónica Esther</t>
  </si>
  <si>
    <t>Campos Arteaga</t>
  </si>
  <si>
    <t>Comprensión clara de las instrucciones</t>
  </si>
  <si>
    <t>P017</t>
  </si>
  <si>
    <t>72890123</t>
  </si>
  <si>
    <t>Javier Antonio</t>
  </si>
  <si>
    <t>Bravo Herrera</t>
  </si>
  <si>
    <t>Centro TEA Zorritos</t>
  </si>
  <si>
    <t>Contralmirante Villar</t>
  </si>
  <si>
    <t>Zorritos</t>
  </si>
  <si>
    <t>Dificultad con emociones complejas</t>
  </si>
  <si>
    <t>P018</t>
  </si>
  <si>
    <t>71901234</t>
  </si>
  <si>
    <t>Mónica Beatriz</t>
  </si>
  <si>
    <t>Ríos Carrasco</t>
  </si>
  <si>
    <t>P019</t>
  </si>
  <si>
    <t>73012345</t>
  </si>
  <si>
    <t>Sergio David</t>
  </si>
  <si>
    <t>Palacios Soto</t>
  </si>
  <si>
    <t>P020</t>
  </si>
  <si>
    <t>74123456</t>
  </si>
  <si>
    <t>Diana Carolina</t>
  </si>
  <si>
    <t>Cabrera Montoya</t>
  </si>
  <si>
    <t>P021</t>
  </si>
  <si>
    <t>72234567</t>
  </si>
  <si>
    <t>Arturo Enrique</t>
  </si>
  <si>
    <t>Gutiérrez Ochoa</t>
  </si>
  <si>
    <t>P022</t>
  </si>
  <si>
    <t>71345678</t>
  </si>
  <si>
    <t>Fiorella Vanessa</t>
  </si>
  <si>
    <t>Romero Dávila</t>
  </si>
  <si>
    <t>P023</t>
  </si>
  <si>
    <t>73456790</t>
  </si>
  <si>
    <t>Alfredo Santiago</t>
  </si>
  <si>
    <t>Luna Benites</t>
  </si>
  <si>
    <t>P024</t>
  </si>
  <si>
    <t>74567891</t>
  </si>
  <si>
    <t>Claudia Stefany</t>
  </si>
  <si>
    <t>Jiménez Cruz</t>
  </si>
  <si>
    <t>P025</t>
  </si>
  <si>
    <t>72678902</t>
  </si>
  <si>
    <t>Hugo Ramiro</t>
  </si>
  <si>
    <t>Vásquez Peña</t>
  </si>
  <si>
    <t>P026</t>
  </si>
  <si>
    <t>71789013</t>
  </si>
  <si>
    <t>Ingrid Melissa</t>
  </si>
  <si>
    <t>Navarro Quispe</t>
  </si>
  <si>
    <t>P027</t>
  </si>
  <si>
    <t>73890124</t>
  </si>
  <si>
    <t>Oscar Alejandro</t>
  </si>
  <si>
    <t>Cordero Ramírez</t>
  </si>
  <si>
    <t>P028</t>
  </si>
  <si>
    <t>74901235</t>
  </si>
  <si>
    <t>Karina Alejandra</t>
  </si>
  <si>
    <t>Figueroa Mejía</t>
  </si>
  <si>
    <t>P029</t>
  </si>
  <si>
    <t>72012346</t>
  </si>
  <si>
    <t>Raúl Ernesto</t>
  </si>
  <si>
    <t>Maldonado Soria</t>
  </si>
  <si>
    <t>P030</t>
  </si>
  <si>
    <t>71123457</t>
  </si>
  <si>
    <t>Natalia Roxana</t>
  </si>
  <si>
    <t>Sánchez Villegas</t>
  </si>
  <si>
    <t>P031</t>
  </si>
  <si>
    <t>72345688</t>
  </si>
  <si>
    <t>Gonzalo Rafael</t>
  </si>
  <si>
    <t>Oliva Guevara</t>
  </si>
  <si>
    <t>P032</t>
  </si>
  <si>
    <t>74345679</t>
  </si>
  <si>
    <t>Valeria Sofía</t>
  </si>
  <si>
    <t>Paredes Muñoz</t>
  </si>
  <si>
    <t>P033</t>
  </si>
  <si>
    <t>72456780</t>
  </si>
  <si>
    <t>Esteban Martín</t>
  </si>
  <si>
    <t>Aguilar Salas</t>
  </si>
  <si>
    <t>P034</t>
  </si>
  <si>
    <t>71567891</t>
  </si>
  <si>
    <t>Liliana Patricia</t>
  </si>
  <si>
    <t>Benavides Torres</t>
  </si>
  <si>
    <t>P035</t>
  </si>
  <si>
    <t>73678902</t>
  </si>
  <si>
    <t>Adrián Sebastián</t>
  </si>
  <si>
    <t>Coronel Ramos</t>
  </si>
  <si>
    <t>P036</t>
  </si>
  <si>
    <t>74789013</t>
  </si>
  <si>
    <t>Brenda Luciana</t>
  </si>
  <si>
    <t>Ibarra Chávez</t>
  </si>
  <si>
    <t>P037</t>
  </si>
  <si>
    <t>72890124</t>
  </si>
  <si>
    <t>Rodrigo Jesús</t>
  </si>
  <si>
    <t>Contreras Moreno</t>
  </si>
  <si>
    <t>P038</t>
  </si>
  <si>
    <t>71901235</t>
  </si>
  <si>
    <t>Ximena Gabriela</t>
  </si>
  <si>
    <t>Delgado Ríos</t>
  </si>
  <si>
    <t>P039</t>
  </si>
  <si>
    <t>73012346</t>
  </si>
  <si>
    <t>Hernán Felipe</t>
  </si>
  <si>
    <t>Salinas Cortez</t>
  </si>
  <si>
    <t>P040</t>
  </si>
  <si>
    <t>74123457</t>
  </si>
  <si>
    <t>Yesenia Maribel</t>
  </si>
  <si>
    <t>Mendoza Vargas</t>
  </si>
  <si>
    <t>P041</t>
  </si>
  <si>
    <t>73983862</t>
  </si>
  <si>
    <t>Josué Joel</t>
  </si>
  <si>
    <t>Prado Zárate</t>
  </si>
  <si>
    <t>P042</t>
  </si>
  <si>
    <t>02832931</t>
  </si>
  <si>
    <t>Isabel</t>
  </si>
  <si>
    <t>Saucedo Andrade</t>
  </si>
  <si>
    <t>P043</t>
  </si>
  <si>
    <t>05640916</t>
  </si>
  <si>
    <t>Violeta</t>
  </si>
  <si>
    <t>Ruiz Saavedra</t>
  </si>
  <si>
    <t>P044</t>
  </si>
  <si>
    <t>77326403</t>
  </si>
  <si>
    <t>Saúl</t>
  </si>
  <si>
    <t>Peña Acaro</t>
  </si>
  <si>
    <t>P045</t>
  </si>
  <si>
    <t>03371079</t>
  </si>
  <si>
    <t>Fernando</t>
  </si>
  <si>
    <t>Jara Ramos</t>
  </si>
  <si>
    <t>P046</t>
  </si>
  <si>
    <t>46219639</t>
  </si>
  <si>
    <t>Ignacio</t>
  </si>
  <si>
    <t>Ramírez Martínez</t>
  </si>
  <si>
    <t>P047</t>
  </si>
  <si>
    <t>63270651</t>
  </si>
  <si>
    <t>Deiser</t>
  </si>
  <si>
    <t>García Velásquez</t>
  </si>
  <si>
    <t>P048</t>
  </si>
  <si>
    <t>47454121</t>
  </si>
  <si>
    <t>Tania</t>
  </si>
  <si>
    <t>Gonzales Vílchez</t>
  </si>
  <si>
    <t>P049</t>
  </si>
  <si>
    <t>76490189</t>
  </si>
  <si>
    <t>Sofía</t>
  </si>
  <si>
    <t>Vergara Vásquez</t>
  </si>
  <si>
    <t>RESUMEN ESTADÍSTICO</t>
  </si>
  <si>
    <t>Métrica</t>
  </si>
  <si>
    <t>Valor</t>
  </si>
  <si>
    <t>Fórmula</t>
  </si>
  <si>
    <t>Descripción</t>
  </si>
  <si>
    <t>Total Participantes</t>
  </si>
  <si>
    <t>Cuenta participantes únicos</t>
  </si>
  <si>
    <t>Número total de personas que completaron pruebas</t>
  </si>
  <si>
    <t>Edad Promedio</t>
  </si>
  <si>
    <t>Promedio de edades</t>
  </si>
  <si>
    <t>Edad media de los participantes</t>
  </si>
  <si>
    <t>Precisión Promedio (%)</t>
  </si>
  <si>
    <t>Promedio de precisión</t>
  </si>
  <si>
    <t>Efectividad promedio en reconocimiento</t>
  </si>
  <si>
    <t>Duración Promedio (min)</t>
  </si>
  <si>
    <t>Tiempo promedio de sesión</t>
  </si>
  <si>
    <t>Duración media de uso de la app</t>
  </si>
  <si>
    <t>Satisfacción Promedio</t>
  </si>
  <si>
    <t>Promedio satisfacción (1-5)</t>
  </si>
  <si>
    <t>Nivel promedio de satisfacción</t>
  </si>
  <si>
    <t>Facilidad Uso Promedio</t>
  </si>
  <si>
    <t>Promedio facilidad (1-5)</t>
  </si>
  <si>
    <t>Percepción de facilidad de uso</t>
  </si>
  <si>
    <t>% Continuaría Usando</t>
  </si>
  <si>
    <t>Porcentaje disposición a continuar</t>
  </si>
  <si>
    <t>Porcentaje que seguiría usando la app</t>
  </si>
  <si>
    <t>DICCIONARIO DE DATOS</t>
  </si>
  <si>
    <t>Campo</t>
  </si>
  <si>
    <t>Tipo</t>
  </si>
  <si>
    <t>Valores Permitidos</t>
  </si>
  <si>
    <t>Texto</t>
  </si>
  <si>
    <t>P001-P050</t>
  </si>
  <si>
    <t>Código único anónimo del participante</t>
  </si>
  <si>
    <t>8 dígitos</t>
  </si>
  <si>
    <t>Documento Nacional de Identidad (uso interno)</t>
  </si>
  <si>
    <t>Texto libre</t>
  </si>
  <si>
    <t>Nombres del participante</t>
  </si>
  <si>
    <t>Apellidos del participante</t>
  </si>
  <si>
    <t>Fecha</t>
  </si>
  <si>
    <t>YYYY-MM-DD</t>
  </si>
  <si>
    <t>Fecha en que se realizó la sesión</t>
  </si>
  <si>
    <t>Número</t>
  </si>
  <si>
    <t>18-60</t>
  </si>
  <si>
    <t>Edad del participante en años</t>
  </si>
  <si>
    <t>M, F</t>
  </si>
  <si>
    <t>Sexo del participante</t>
  </si>
  <si>
    <t>TEA Nivel 1/2/3, Síndrome de Asperger</t>
  </si>
  <si>
    <t>Nivel diagnosticado del TEA</t>
  </si>
  <si>
    <t>Nombre del centro donde se realizó</t>
  </si>
  <si>
    <t>Tumbes, Lima, etc</t>
  </si>
  <si>
    <t>Provincia donde se realizó la prueba</t>
  </si>
  <si>
    <t>Distrito específico</t>
  </si>
  <si>
    <t>1, 2, 3...</t>
  </si>
  <si>
    <t>Número de sesión actual</t>
  </si>
  <si>
    <t>1-10</t>
  </si>
  <si>
    <t>Total de sesiones completadas por participante</t>
  </si>
  <si>
    <t>20-60</t>
  </si>
  <si>
    <t>Duración de la sesión en minutos</t>
  </si>
  <si>
    <t>0-20</t>
  </si>
  <si>
    <t>Cantidad de emociones identificadas correctamente</t>
  </si>
  <si>
    <t>Cantidad de emociones identificadas incorrectamente</t>
  </si>
  <si>
    <t>Calculado</t>
  </si>
  <si>
    <t>Porcentaje de aciertos = Correctas/(Correctas+Incorrectas)*100</t>
  </si>
  <si>
    <t>2-10</t>
  </si>
  <si>
    <t>Tiempo promedio por respuesta en segundos</t>
  </si>
  <si>
    <t>Fácil, Medio, Difícil</t>
  </si>
  <si>
    <t>Nivel de dificultad configurado</t>
  </si>
  <si>
    <t>1-5</t>
  </si>
  <si>
    <t>Promedio de intentos necesarios por emoción</t>
  </si>
  <si>
    <t>Calificación de satisfacción (1=Muy baja, 5=Muy alta)</t>
  </si>
  <si>
    <t>Calificación facilidad uso (1=Muy difícil, 5=Muy fácil)</t>
  </si>
  <si>
    <t>Sí, No</t>
  </si>
  <si>
    <t>Disposición a continuar usando la aplicación</t>
  </si>
  <si>
    <t>Comentarios del participante, terapeuta o evaluador</t>
  </si>
  <si>
    <t>2025-11-15</t>
  </si>
  <si>
    <t>2025-10-29</t>
  </si>
  <si>
    <t>2025-11-05</t>
  </si>
  <si>
    <t>2025-10-31</t>
  </si>
  <si>
    <t>2025-11-14</t>
  </si>
  <si>
    <t>2025-11-13</t>
  </si>
  <si>
    <t>2025-11-03</t>
  </si>
  <si>
    <t>2025-11-10</t>
  </si>
  <si>
    <t>2025-11-07</t>
  </si>
  <si>
    <t>2025-11-06</t>
  </si>
  <si>
    <t>2025-11-11</t>
  </si>
  <si>
    <t>2025-10-30</t>
  </si>
  <si>
    <t>2025-11-09</t>
  </si>
  <si>
    <t>2025-11-01</t>
  </si>
  <si>
    <t>2025-11-02</t>
  </si>
  <si>
    <t>2025-11-04</t>
  </si>
  <si>
    <t>2025-11-16</t>
  </si>
  <si>
    <t>2025-11-08</t>
  </si>
  <si>
    <t>2025-11-12</t>
  </si>
  <si>
    <t>Enojado</t>
  </si>
  <si>
    <t>Disgustado</t>
  </si>
  <si>
    <t>Triste</t>
  </si>
  <si>
    <t>Feliz</t>
  </si>
  <si>
    <t>Emoción predominante más frecuente</t>
  </si>
  <si>
    <t>Moda de columna</t>
  </si>
  <si>
    <t>Emoción más común detectada en participantes</t>
  </si>
  <si>
    <t>Porcentaje_Predominante</t>
  </si>
  <si>
    <t>Emocion_Predominante</t>
  </si>
  <si>
    <t>DISTRIBUCIÓN DE EMOCIÓN PREDOMINANTE</t>
  </si>
  <si>
    <t>Emoción</t>
  </si>
  <si>
    <t>Frecuencia</t>
  </si>
  <si>
    <t>Porcentaje</t>
  </si>
  <si>
    <t>TOTAL</t>
  </si>
  <si>
    <t>0-100</t>
  </si>
  <si>
    <t>Enojado, Disgustado, Neutral, Feliz, Triste</t>
  </si>
  <si>
    <t>Emoción detectada con mayor frecuencia en el participante durante la sesión</t>
  </si>
  <si>
    <t>Porcentaje de la emoción más frecuentemente detectada por 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</si>
</sst>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zoomScale="70" zoomScaleNormal="70" workbookViewId="0">
      <selection activeCell="C15" sqref="C15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4" width="20" customWidth="1"/>
    <col min="5" max="5" width="13" customWidth="1"/>
    <col min="6" max="6" width="8" customWidth="1"/>
    <col min="7" max="7" width="10" customWidth="1"/>
    <col min="8" max="8" width="22.7109375" customWidth="1"/>
    <col min="9" max="9" width="35.5703125" customWidth="1"/>
    <col min="10" max="10" width="21.7109375" customWidth="1"/>
    <col min="11" max="11" width="23.5703125" customWidth="1"/>
    <col min="12" max="12" width="10" customWidth="1"/>
    <col min="13" max="13" width="20.5703125" customWidth="1"/>
    <col min="14" max="14" width="17.28515625" customWidth="1"/>
    <col min="15" max="15" width="20.140625" customWidth="1"/>
    <col min="16" max="16" width="20" customWidth="1"/>
    <col min="17" max="17" width="18" customWidth="1"/>
    <col min="18" max="18" width="30.28515625" customWidth="1"/>
    <col min="19" max="19" width="15" customWidth="1"/>
    <col min="20" max="22" width="20.140625" customWidth="1"/>
    <col min="23" max="23" width="19.5703125" customWidth="1"/>
    <col min="24" max="24" width="15" customWidth="1"/>
    <col min="25" max="25" width="18" customWidth="1"/>
    <col min="26" max="26" width="49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361</v>
      </c>
      <c r="V1" s="1" t="s">
        <v>362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2" t="s">
        <v>24</v>
      </c>
      <c r="B2" s="2" t="s">
        <v>25</v>
      </c>
      <c r="C2" s="2" t="s">
        <v>26</v>
      </c>
      <c r="D2" s="2" t="s">
        <v>27</v>
      </c>
      <c r="E2" s="3" t="s">
        <v>335</v>
      </c>
      <c r="F2" s="4">
        <f ca="1">RANDBETWEEN(1,18)</f>
        <v>15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4">
        <v>1</v>
      </c>
      <c r="M2" s="4">
        <v>1</v>
      </c>
      <c r="N2" s="4">
        <v>42</v>
      </c>
      <c r="O2" s="4">
        <v>15</v>
      </c>
      <c r="P2" s="4">
        <v>4</v>
      </c>
      <c r="Q2" s="10">
        <f>O2/(O2+P2)*100</f>
        <v>78.94736842105263</v>
      </c>
      <c r="R2" s="5">
        <v>5</v>
      </c>
      <c r="S2" s="2" t="s">
        <v>32</v>
      </c>
      <c r="T2" s="5">
        <v>3.3</v>
      </c>
      <c r="U2" s="5">
        <v>60.9</v>
      </c>
      <c r="V2" s="2" t="s">
        <v>357</v>
      </c>
      <c r="W2" s="4">
        <v>4</v>
      </c>
      <c r="X2" s="4">
        <v>3</v>
      </c>
      <c r="Y2" s="2" t="s">
        <v>33</v>
      </c>
      <c r="Z2" s="2" t="s">
        <v>34</v>
      </c>
    </row>
    <row r="3" spans="1:26" x14ac:dyDescent="0.25">
      <c r="A3" s="2" t="s">
        <v>35</v>
      </c>
      <c r="B3" s="2" t="s">
        <v>36</v>
      </c>
      <c r="C3" s="2" t="s">
        <v>37</v>
      </c>
      <c r="D3" s="2" t="s">
        <v>38</v>
      </c>
      <c r="E3" s="3" t="s">
        <v>336</v>
      </c>
      <c r="F3" s="4">
        <f t="shared" ref="F3:F66" ca="1" si="0">RANDBETWEEN(1,18)</f>
        <v>5</v>
      </c>
      <c r="G3" s="2" t="s">
        <v>39</v>
      </c>
      <c r="H3" s="2" t="s">
        <v>40</v>
      </c>
      <c r="I3" s="2" t="s">
        <v>41</v>
      </c>
      <c r="J3" s="2" t="s">
        <v>31</v>
      </c>
      <c r="K3" s="2" t="s">
        <v>42</v>
      </c>
      <c r="L3" s="4">
        <v>1</v>
      </c>
      <c r="M3" s="4">
        <v>1</v>
      </c>
      <c r="N3" s="4">
        <v>45</v>
      </c>
      <c r="O3" s="4">
        <v>15</v>
      </c>
      <c r="P3" s="4">
        <v>8</v>
      </c>
      <c r="Q3" s="10">
        <f t="shared" ref="Q3:Q66" si="1">O3/(O3+P3)*100</f>
        <v>65.217391304347828</v>
      </c>
      <c r="R3" s="5">
        <v>4.5</v>
      </c>
      <c r="S3" s="2" t="s">
        <v>43</v>
      </c>
      <c r="T3" s="5">
        <v>2.4</v>
      </c>
      <c r="U3" s="5">
        <v>69.2</v>
      </c>
      <c r="V3" s="2" t="s">
        <v>53</v>
      </c>
      <c r="W3" s="4">
        <v>5</v>
      </c>
      <c r="X3" s="4">
        <v>4</v>
      </c>
      <c r="Y3" s="2" t="s">
        <v>44</v>
      </c>
      <c r="Z3" s="2"/>
    </row>
    <row r="4" spans="1:26" x14ac:dyDescent="0.25">
      <c r="A4" s="2" t="s">
        <v>45</v>
      </c>
      <c r="B4" s="2" t="s">
        <v>46</v>
      </c>
      <c r="C4" s="2" t="s">
        <v>47</v>
      </c>
      <c r="D4" s="2" t="s">
        <v>48</v>
      </c>
      <c r="E4" s="3" t="s">
        <v>337</v>
      </c>
      <c r="F4" s="4">
        <f t="shared" ca="1" si="0"/>
        <v>11</v>
      </c>
      <c r="G4" s="2" t="s">
        <v>39</v>
      </c>
      <c r="H4" s="2" t="s">
        <v>49</v>
      </c>
      <c r="I4" s="2" t="s">
        <v>50</v>
      </c>
      <c r="J4" s="2" t="s">
        <v>31</v>
      </c>
      <c r="K4" s="2" t="s">
        <v>51</v>
      </c>
      <c r="L4" s="4">
        <v>1</v>
      </c>
      <c r="M4" s="4">
        <v>3</v>
      </c>
      <c r="N4" s="4">
        <v>35</v>
      </c>
      <c r="O4" s="4">
        <v>8</v>
      </c>
      <c r="P4" s="4">
        <v>4</v>
      </c>
      <c r="Q4" s="10">
        <f t="shared" si="1"/>
        <v>66.666666666666657</v>
      </c>
      <c r="R4" s="5">
        <v>4.7</v>
      </c>
      <c r="S4" s="2" t="s">
        <v>43</v>
      </c>
      <c r="T4" s="5">
        <v>2.7</v>
      </c>
      <c r="U4" s="5">
        <v>76.2</v>
      </c>
      <c r="V4" s="2" t="s">
        <v>354</v>
      </c>
      <c r="W4" s="4">
        <v>5</v>
      </c>
      <c r="X4" s="4">
        <v>4</v>
      </c>
      <c r="Y4" s="2" t="s">
        <v>33</v>
      </c>
      <c r="Z4" s="2" t="s">
        <v>52</v>
      </c>
    </row>
    <row r="5" spans="1:26" x14ac:dyDescent="0.25">
      <c r="A5" s="2" t="s">
        <v>45</v>
      </c>
      <c r="B5" s="2" t="s">
        <v>46</v>
      </c>
      <c r="C5" s="2" t="s">
        <v>47</v>
      </c>
      <c r="D5" s="2" t="s">
        <v>48</v>
      </c>
      <c r="E5" s="3" t="s">
        <v>336</v>
      </c>
      <c r="F5" s="4">
        <f t="shared" ca="1" si="0"/>
        <v>15</v>
      </c>
      <c r="G5" s="2" t="s">
        <v>39</v>
      </c>
      <c r="H5" s="2" t="s">
        <v>49</v>
      </c>
      <c r="I5" s="2" t="s">
        <v>50</v>
      </c>
      <c r="J5" s="2" t="s">
        <v>31</v>
      </c>
      <c r="K5" s="2" t="s">
        <v>51</v>
      </c>
      <c r="L5" s="4">
        <v>2</v>
      </c>
      <c r="M5" s="4">
        <v>3</v>
      </c>
      <c r="N5" s="4">
        <v>42</v>
      </c>
      <c r="O5" s="4">
        <v>9</v>
      </c>
      <c r="P5" s="4">
        <v>8</v>
      </c>
      <c r="Q5" s="10">
        <f t="shared" si="1"/>
        <v>52.941176470588239</v>
      </c>
      <c r="R5" s="5">
        <v>6</v>
      </c>
      <c r="S5" s="2" t="s">
        <v>43</v>
      </c>
      <c r="T5" s="5">
        <v>1.7</v>
      </c>
      <c r="U5" s="5">
        <v>62.2</v>
      </c>
      <c r="V5" s="2" t="s">
        <v>354</v>
      </c>
      <c r="W5" s="4">
        <v>4</v>
      </c>
      <c r="X5" s="4">
        <v>4</v>
      </c>
      <c r="Y5" s="2" t="s">
        <v>44</v>
      </c>
      <c r="Z5" s="2" t="s">
        <v>54</v>
      </c>
    </row>
    <row r="6" spans="1:26" x14ac:dyDescent="0.25">
      <c r="A6" s="2" t="s">
        <v>45</v>
      </c>
      <c r="B6" s="2" t="s">
        <v>46</v>
      </c>
      <c r="C6" s="2" t="s">
        <v>47</v>
      </c>
      <c r="D6" s="2" t="s">
        <v>48</v>
      </c>
      <c r="E6" s="3" t="s">
        <v>338</v>
      </c>
      <c r="F6" s="4">
        <f t="shared" ca="1" si="0"/>
        <v>14</v>
      </c>
      <c r="G6" s="2" t="s">
        <v>39</v>
      </c>
      <c r="H6" s="2" t="s">
        <v>49</v>
      </c>
      <c r="I6" s="2" t="s">
        <v>50</v>
      </c>
      <c r="J6" s="2" t="s">
        <v>31</v>
      </c>
      <c r="K6" s="2" t="s">
        <v>51</v>
      </c>
      <c r="L6" s="4">
        <v>3</v>
      </c>
      <c r="M6" s="4">
        <v>3</v>
      </c>
      <c r="N6" s="4">
        <v>39</v>
      </c>
      <c r="O6" s="4">
        <v>14</v>
      </c>
      <c r="P6" s="4">
        <v>8</v>
      </c>
      <c r="Q6" s="10">
        <f t="shared" si="1"/>
        <v>63.636363636363633</v>
      </c>
      <c r="R6" s="5">
        <v>5.2</v>
      </c>
      <c r="S6" s="2" t="s">
        <v>55</v>
      </c>
      <c r="T6" s="5">
        <v>1.6</v>
      </c>
      <c r="U6" s="5">
        <v>66.5</v>
      </c>
      <c r="V6" s="2" t="s">
        <v>357</v>
      </c>
      <c r="W6" s="4">
        <v>5</v>
      </c>
      <c r="X6" s="4">
        <v>5</v>
      </c>
      <c r="Y6" s="2" t="s">
        <v>44</v>
      </c>
      <c r="Z6" s="2" t="s">
        <v>56</v>
      </c>
    </row>
    <row r="7" spans="1:26" x14ac:dyDescent="0.25">
      <c r="A7" s="2" t="s">
        <v>57</v>
      </c>
      <c r="B7" s="2" t="s">
        <v>58</v>
      </c>
      <c r="C7" s="2" t="s">
        <v>59</v>
      </c>
      <c r="D7" s="2" t="s">
        <v>60</v>
      </c>
      <c r="E7" s="3" t="s">
        <v>337</v>
      </c>
      <c r="F7" s="4">
        <f t="shared" ca="1" si="0"/>
        <v>15</v>
      </c>
      <c r="G7" s="2" t="s">
        <v>39</v>
      </c>
      <c r="H7" s="2" t="s">
        <v>29</v>
      </c>
      <c r="I7" s="2" t="s">
        <v>30</v>
      </c>
      <c r="J7" s="2" t="s">
        <v>31</v>
      </c>
      <c r="K7" s="2" t="s">
        <v>31</v>
      </c>
      <c r="L7" s="4">
        <v>1</v>
      </c>
      <c r="M7" s="4">
        <v>2</v>
      </c>
      <c r="N7" s="4">
        <v>38</v>
      </c>
      <c r="O7" s="4">
        <v>12</v>
      </c>
      <c r="P7" s="4">
        <v>3</v>
      </c>
      <c r="Q7" s="10">
        <f t="shared" si="1"/>
        <v>80</v>
      </c>
      <c r="R7" s="5">
        <v>5</v>
      </c>
      <c r="S7" s="2" t="s">
        <v>32</v>
      </c>
      <c r="T7" s="5">
        <v>1.6</v>
      </c>
      <c r="U7" s="5">
        <v>44.8</v>
      </c>
      <c r="V7" s="2" t="s">
        <v>354</v>
      </c>
      <c r="W7" s="4">
        <v>5</v>
      </c>
      <c r="X7" s="4">
        <v>3</v>
      </c>
      <c r="Y7" s="2" t="s">
        <v>44</v>
      </c>
      <c r="Z7" s="2" t="s">
        <v>54</v>
      </c>
    </row>
    <row r="8" spans="1:26" x14ac:dyDescent="0.25">
      <c r="A8" s="2" t="s">
        <v>57</v>
      </c>
      <c r="B8" s="2" t="s">
        <v>58</v>
      </c>
      <c r="C8" s="2" t="s">
        <v>59</v>
      </c>
      <c r="D8" s="2" t="s">
        <v>60</v>
      </c>
      <c r="E8" s="3" t="s">
        <v>339</v>
      </c>
      <c r="F8" s="4">
        <f t="shared" ca="1" si="0"/>
        <v>5</v>
      </c>
      <c r="G8" s="2" t="s">
        <v>39</v>
      </c>
      <c r="H8" s="2" t="s">
        <v>29</v>
      </c>
      <c r="I8" s="2" t="s">
        <v>30</v>
      </c>
      <c r="J8" s="2" t="s">
        <v>31</v>
      </c>
      <c r="K8" s="2" t="s">
        <v>31</v>
      </c>
      <c r="L8" s="4">
        <v>2</v>
      </c>
      <c r="M8" s="4">
        <v>2</v>
      </c>
      <c r="N8" s="4">
        <v>32</v>
      </c>
      <c r="O8" s="4">
        <v>18</v>
      </c>
      <c r="P8" s="4">
        <v>2</v>
      </c>
      <c r="Q8" s="10">
        <f t="shared" si="1"/>
        <v>90</v>
      </c>
      <c r="R8" s="5">
        <v>8.1</v>
      </c>
      <c r="S8" s="2" t="s">
        <v>43</v>
      </c>
      <c r="T8" s="5">
        <v>3.2</v>
      </c>
      <c r="U8" s="5">
        <v>49</v>
      </c>
      <c r="V8" s="2" t="s">
        <v>356</v>
      </c>
      <c r="W8" s="4">
        <v>5</v>
      </c>
      <c r="X8" s="4">
        <v>5</v>
      </c>
      <c r="Y8" s="2" t="s">
        <v>44</v>
      </c>
      <c r="Z8" s="2"/>
    </row>
    <row r="9" spans="1:26" x14ac:dyDescent="0.25">
      <c r="A9" s="2" t="s">
        <v>61</v>
      </c>
      <c r="B9" s="2" t="s">
        <v>62</v>
      </c>
      <c r="C9" s="2" t="s">
        <v>63</v>
      </c>
      <c r="D9" s="2" t="s">
        <v>64</v>
      </c>
      <c r="E9" s="3" t="s">
        <v>337</v>
      </c>
      <c r="F9" s="4">
        <f t="shared" ca="1" si="0"/>
        <v>11</v>
      </c>
      <c r="G9" s="2" t="s">
        <v>28</v>
      </c>
      <c r="H9" s="2" t="s">
        <v>65</v>
      </c>
      <c r="I9" s="2" t="s">
        <v>66</v>
      </c>
      <c r="J9" s="2" t="s">
        <v>31</v>
      </c>
      <c r="K9" s="2" t="s">
        <v>67</v>
      </c>
      <c r="L9" s="4">
        <v>1</v>
      </c>
      <c r="M9" s="4">
        <v>1</v>
      </c>
      <c r="N9" s="4">
        <v>29</v>
      </c>
      <c r="O9" s="4">
        <v>11</v>
      </c>
      <c r="P9" s="4">
        <v>13</v>
      </c>
      <c r="Q9" s="10">
        <f t="shared" si="1"/>
        <v>45.833333333333329</v>
      </c>
      <c r="R9" s="5">
        <v>4.4000000000000004</v>
      </c>
      <c r="S9" s="2" t="s">
        <v>43</v>
      </c>
      <c r="T9" s="5">
        <v>2.6</v>
      </c>
      <c r="U9" s="5">
        <v>73.2</v>
      </c>
      <c r="V9" s="2" t="s">
        <v>53</v>
      </c>
      <c r="W9" s="4">
        <v>4</v>
      </c>
      <c r="X9" s="4">
        <v>5</v>
      </c>
      <c r="Y9" s="2" t="s">
        <v>44</v>
      </c>
      <c r="Z9" s="2" t="s">
        <v>56</v>
      </c>
    </row>
    <row r="10" spans="1:26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3" t="s">
        <v>340</v>
      </c>
      <c r="F10" s="4">
        <f t="shared" ca="1" si="0"/>
        <v>3</v>
      </c>
      <c r="G10" s="2" t="s">
        <v>39</v>
      </c>
      <c r="H10" s="2" t="s">
        <v>40</v>
      </c>
      <c r="I10" s="2" t="s">
        <v>30</v>
      </c>
      <c r="J10" s="2" t="s">
        <v>31</v>
      </c>
      <c r="K10" s="2" t="s">
        <v>31</v>
      </c>
      <c r="L10" s="4">
        <v>1</v>
      </c>
      <c r="M10" s="4">
        <v>1</v>
      </c>
      <c r="N10" s="4">
        <v>40</v>
      </c>
      <c r="O10" s="4">
        <v>15</v>
      </c>
      <c r="P10" s="4">
        <v>4</v>
      </c>
      <c r="Q10" s="10">
        <f t="shared" si="1"/>
        <v>78.94736842105263</v>
      </c>
      <c r="R10" s="5">
        <v>6.4</v>
      </c>
      <c r="S10" s="2" t="s">
        <v>43</v>
      </c>
      <c r="T10" s="5">
        <v>1.9</v>
      </c>
      <c r="U10" s="5">
        <v>53.9</v>
      </c>
      <c r="V10" s="2" t="s">
        <v>354</v>
      </c>
      <c r="W10" s="4">
        <v>4</v>
      </c>
      <c r="X10" s="4">
        <v>4</v>
      </c>
      <c r="Y10" s="2" t="s">
        <v>44</v>
      </c>
      <c r="Z10" s="2" t="s">
        <v>72</v>
      </c>
    </row>
    <row r="11" spans="1:26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3" t="s">
        <v>341</v>
      </c>
      <c r="F11" s="4">
        <f t="shared" ca="1" si="0"/>
        <v>12</v>
      </c>
      <c r="G11" s="2" t="s">
        <v>28</v>
      </c>
      <c r="H11" s="2" t="s">
        <v>49</v>
      </c>
      <c r="I11" s="2" t="s">
        <v>77</v>
      </c>
      <c r="J11" s="2" t="s">
        <v>51</v>
      </c>
      <c r="K11" s="2" t="s">
        <v>78</v>
      </c>
      <c r="L11" s="4">
        <v>1</v>
      </c>
      <c r="M11" s="4">
        <v>1</v>
      </c>
      <c r="N11" s="4">
        <v>39</v>
      </c>
      <c r="O11" s="4">
        <v>10</v>
      </c>
      <c r="P11" s="4">
        <v>9</v>
      </c>
      <c r="Q11" s="10">
        <f t="shared" si="1"/>
        <v>52.631578947368418</v>
      </c>
      <c r="R11" s="5">
        <v>8.1</v>
      </c>
      <c r="S11" s="2" t="s">
        <v>43</v>
      </c>
      <c r="T11" s="5">
        <v>2.2000000000000002</v>
      </c>
      <c r="U11" s="5">
        <v>73.7</v>
      </c>
      <c r="V11" s="2" t="s">
        <v>355</v>
      </c>
      <c r="W11" s="4">
        <v>5</v>
      </c>
      <c r="X11" s="4">
        <v>5</v>
      </c>
      <c r="Y11" s="2" t="s">
        <v>44</v>
      </c>
      <c r="Z11" s="2" t="s">
        <v>79</v>
      </c>
    </row>
    <row r="12" spans="1:26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3" t="s">
        <v>336</v>
      </c>
      <c r="F12" s="4">
        <f t="shared" ca="1" si="0"/>
        <v>4</v>
      </c>
      <c r="G12" s="2" t="s">
        <v>39</v>
      </c>
      <c r="H12" s="2" t="s">
        <v>29</v>
      </c>
      <c r="I12" s="2" t="s">
        <v>30</v>
      </c>
      <c r="J12" s="2" t="s">
        <v>31</v>
      </c>
      <c r="K12" s="2" t="s">
        <v>31</v>
      </c>
      <c r="L12" s="4">
        <v>1</v>
      </c>
      <c r="M12" s="4">
        <v>2</v>
      </c>
      <c r="N12" s="4">
        <v>37</v>
      </c>
      <c r="O12" s="4">
        <v>16</v>
      </c>
      <c r="P12" s="4">
        <v>3</v>
      </c>
      <c r="Q12" s="10">
        <f t="shared" si="1"/>
        <v>84.210526315789465</v>
      </c>
      <c r="R12" s="5">
        <v>7.4</v>
      </c>
      <c r="S12" s="2" t="s">
        <v>43</v>
      </c>
      <c r="T12" s="5">
        <v>2.4</v>
      </c>
      <c r="U12" s="5">
        <v>83.3</v>
      </c>
      <c r="V12" s="2" t="s">
        <v>357</v>
      </c>
      <c r="W12" s="4">
        <v>5</v>
      </c>
      <c r="X12" s="4">
        <v>4</v>
      </c>
      <c r="Y12" s="2" t="s">
        <v>33</v>
      </c>
      <c r="Z12" s="2" t="s">
        <v>84</v>
      </c>
    </row>
    <row r="13" spans="1:26" x14ac:dyDescent="0.25">
      <c r="A13" s="2" t="s">
        <v>80</v>
      </c>
      <c r="B13" s="2" t="s">
        <v>81</v>
      </c>
      <c r="C13" s="2" t="s">
        <v>82</v>
      </c>
      <c r="D13" s="2" t="s">
        <v>83</v>
      </c>
      <c r="E13" s="3" t="s">
        <v>339</v>
      </c>
      <c r="F13" s="4">
        <f t="shared" ca="1" si="0"/>
        <v>11</v>
      </c>
      <c r="G13" s="2" t="s">
        <v>39</v>
      </c>
      <c r="H13" s="2" t="s">
        <v>29</v>
      </c>
      <c r="I13" s="2" t="s">
        <v>30</v>
      </c>
      <c r="J13" s="2" t="s">
        <v>31</v>
      </c>
      <c r="K13" s="2" t="s">
        <v>31</v>
      </c>
      <c r="L13" s="4">
        <v>2</v>
      </c>
      <c r="M13" s="4">
        <v>2</v>
      </c>
      <c r="N13" s="4">
        <v>28</v>
      </c>
      <c r="O13" s="4">
        <v>15</v>
      </c>
      <c r="P13" s="4">
        <v>4</v>
      </c>
      <c r="Q13" s="10">
        <f t="shared" si="1"/>
        <v>78.94736842105263</v>
      </c>
      <c r="R13" s="5">
        <v>8.1</v>
      </c>
      <c r="S13" s="2" t="s">
        <v>43</v>
      </c>
      <c r="T13" s="5">
        <v>2.9</v>
      </c>
      <c r="U13" s="5">
        <v>85</v>
      </c>
      <c r="V13" s="2" t="s">
        <v>356</v>
      </c>
      <c r="W13" s="4">
        <v>3</v>
      </c>
      <c r="X13" s="4">
        <v>3</v>
      </c>
      <c r="Y13" s="2" t="s">
        <v>44</v>
      </c>
      <c r="Z13" s="2"/>
    </row>
    <row r="14" spans="1:26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3" t="s">
        <v>340</v>
      </c>
      <c r="F14" s="4">
        <f t="shared" ca="1" si="0"/>
        <v>2</v>
      </c>
      <c r="G14" s="2" t="s">
        <v>28</v>
      </c>
      <c r="H14" s="2" t="s">
        <v>49</v>
      </c>
      <c r="I14" s="2" t="s">
        <v>89</v>
      </c>
      <c r="J14" s="2" t="s">
        <v>31</v>
      </c>
      <c r="K14" s="2" t="s">
        <v>90</v>
      </c>
      <c r="L14" s="4">
        <v>1</v>
      </c>
      <c r="M14" s="4">
        <v>2</v>
      </c>
      <c r="N14" s="4">
        <v>27</v>
      </c>
      <c r="O14" s="4">
        <v>14</v>
      </c>
      <c r="P14" s="4">
        <v>7</v>
      </c>
      <c r="Q14" s="10">
        <f t="shared" si="1"/>
        <v>66.666666666666657</v>
      </c>
      <c r="R14" s="5">
        <v>4.8</v>
      </c>
      <c r="S14" s="2" t="s">
        <v>55</v>
      </c>
      <c r="T14" s="5">
        <v>3.4</v>
      </c>
      <c r="U14" s="5">
        <v>72.2</v>
      </c>
      <c r="V14" s="2" t="s">
        <v>355</v>
      </c>
      <c r="W14" s="4">
        <v>5</v>
      </c>
      <c r="X14" s="4">
        <v>5</v>
      </c>
      <c r="Y14" s="2" t="s">
        <v>44</v>
      </c>
      <c r="Z14" s="2" t="s">
        <v>54</v>
      </c>
    </row>
    <row r="15" spans="1:26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3" t="s">
        <v>342</v>
      </c>
      <c r="F15" s="4">
        <f t="shared" ca="1" si="0"/>
        <v>3</v>
      </c>
      <c r="G15" s="2" t="s">
        <v>28</v>
      </c>
      <c r="H15" s="2" t="s">
        <v>49</v>
      </c>
      <c r="I15" s="2" t="s">
        <v>89</v>
      </c>
      <c r="J15" s="2" t="s">
        <v>31</v>
      </c>
      <c r="K15" s="2" t="s">
        <v>90</v>
      </c>
      <c r="L15" s="4">
        <v>2</v>
      </c>
      <c r="M15" s="4">
        <v>2</v>
      </c>
      <c r="N15" s="4">
        <v>28</v>
      </c>
      <c r="O15" s="4">
        <v>13</v>
      </c>
      <c r="P15" s="4">
        <v>10</v>
      </c>
      <c r="Q15" s="10">
        <f t="shared" si="1"/>
        <v>56.521739130434781</v>
      </c>
      <c r="R15" s="5">
        <v>7</v>
      </c>
      <c r="S15" s="2" t="s">
        <v>55</v>
      </c>
      <c r="T15" s="5">
        <v>1.5</v>
      </c>
      <c r="U15" s="5">
        <v>68.900000000000006</v>
      </c>
      <c r="V15" s="2" t="s">
        <v>354</v>
      </c>
      <c r="W15" s="4">
        <v>4</v>
      </c>
      <c r="X15" s="4">
        <v>5</v>
      </c>
      <c r="Y15" s="2" t="s">
        <v>44</v>
      </c>
      <c r="Z15" s="2" t="s">
        <v>84</v>
      </c>
    </row>
    <row r="16" spans="1:26" x14ac:dyDescent="0.25">
      <c r="A16" s="2" t="s">
        <v>91</v>
      </c>
      <c r="B16" s="2" t="s">
        <v>92</v>
      </c>
      <c r="C16" s="2" t="s">
        <v>93</v>
      </c>
      <c r="D16" s="2" t="s">
        <v>94</v>
      </c>
      <c r="E16" s="3" t="s">
        <v>343</v>
      </c>
      <c r="F16" s="4">
        <f t="shared" ca="1" si="0"/>
        <v>3</v>
      </c>
      <c r="G16" s="2" t="s">
        <v>39</v>
      </c>
      <c r="H16" s="2" t="s">
        <v>40</v>
      </c>
      <c r="I16" s="2" t="s">
        <v>30</v>
      </c>
      <c r="J16" s="2" t="s">
        <v>31</v>
      </c>
      <c r="K16" s="2" t="s">
        <v>31</v>
      </c>
      <c r="L16" s="4">
        <v>1</v>
      </c>
      <c r="M16" s="4">
        <v>3</v>
      </c>
      <c r="N16" s="4">
        <v>41</v>
      </c>
      <c r="O16" s="4">
        <v>11</v>
      </c>
      <c r="P16" s="4">
        <v>7</v>
      </c>
      <c r="Q16" s="10">
        <f t="shared" si="1"/>
        <v>61.111111111111114</v>
      </c>
      <c r="R16" s="5">
        <v>7.5</v>
      </c>
      <c r="S16" s="2" t="s">
        <v>43</v>
      </c>
      <c r="T16" s="5">
        <v>2.2999999999999998</v>
      </c>
      <c r="U16" s="5">
        <v>47.6</v>
      </c>
      <c r="V16" s="2" t="s">
        <v>354</v>
      </c>
      <c r="W16" s="4">
        <v>5</v>
      </c>
      <c r="X16" s="4">
        <v>5</v>
      </c>
      <c r="Y16" s="2" t="s">
        <v>44</v>
      </c>
      <c r="Z16" s="2"/>
    </row>
    <row r="17" spans="1:26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3" t="s">
        <v>344</v>
      </c>
      <c r="F17" s="4">
        <f t="shared" ca="1" si="0"/>
        <v>13</v>
      </c>
      <c r="G17" s="2" t="s">
        <v>39</v>
      </c>
      <c r="H17" s="2" t="s">
        <v>40</v>
      </c>
      <c r="I17" s="2" t="s">
        <v>30</v>
      </c>
      <c r="J17" s="2" t="s">
        <v>31</v>
      </c>
      <c r="K17" s="2" t="s">
        <v>31</v>
      </c>
      <c r="L17" s="4">
        <v>2</v>
      </c>
      <c r="M17" s="4">
        <v>3</v>
      </c>
      <c r="N17" s="4">
        <v>43</v>
      </c>
      <c r="O17" s="4">
        <v>15</v>
      </c>
      <c r="P17" s="4">
        <v>5</v>
      </c>
      <c r="Q17" s="10">
        <f t="shared" si="1"/>
        <v>75</v>
      </c>
      <c r="R17" s="5">
        <v>6</v>
      </c>
      <c r="S17" s="2" t="s">
        <v>43</v>
      </c>
      <c r="T17" s="5">
        <v>2.4</v>
      </c>
      <c r="U17" s="5">
        <v>52.5</v>
      </c>
      <c r="V17" s="2" t="s">
        <v>53</v>
      </c>
      <c r="W17" s="4">
        <v>3</v>
      </c>
      <c r="X17" s="4">
        <v>3</v>
      </c>
      <c r="Y17" s="2" t="s">
        <v>44</v>
      </c>
      <c r="Z17" s="2" t="s">
        <v>54</v>
      </c>
    </row>
    <row r="18" spans="1:26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3" t="s">
        <v>345</v>
      </c>
      <c r="F18" s="4">
        <f t="shared" ca="1" si="0"/>
        <v>11</v>
      </c>
      <c r="G18" s="2" t="s">
        <v>39</v>
      </c>
      <c r="H18" s="2" t="s">
        <v>40</v>
      </c>
      <c r="I18" s="2" t="s">
        <v>30</v>
      </c>
      <c r="J18" s="2" t="s">
        <v>31</v>
      </c>
      <c r="K18" s="2" t="s">
        <v>31</v>
      </c>
      <c r="L18" s="4">
        <v>3</v>
      </c>
      <c r="M18" s="4">
        <v>3</v>
      </c>
      <c r="N18" s="4">
        <v>34</v>
      </c>
      <c r="O18" s="4">
        <v>10</v>
      </c>
      <c r="P18" s="4">
        <v>3</v>
      </c>
      <c r="Q18" s="10">
        <f t="shared" si="1"/>
        <v>76.923076923076934</v>
      </c>
      <c r="R18" s="5">
        <v>5.5</v>
      </c>
      <c r="S18" s="2" t="s">
        <v>43</v>
      </c>
      <c r="T18" s="5">
        <v>1.6</v>
      </c>
      <c r="U18" s="5">
        <v>83.9</v>
      </c>
      <c r="V18" s="2" t="s">
        <v>53</v>
      </c>
      <c r="W18" s="4">
        <v>5</v>
      </c>
      <c r="X18" s="4">
        <v>5</v>
      </c>
      <c r="Y18" s="2" t="s">
        <v>44</v>
      </c>
      <c r="Z18" s="2" t="s">
        <v>56</v>
      </c>
    </row>
    <row r="19" spans="1:26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3" t="s">
        <v>337</v>
      </c>
      <c r="F19" s="4">
        <f t="shared" ca="1" si="0"/>
        <v>18</v>
      </c>
      <c r="G19" s="2" t="s">
        <v>28</v>
      </c>
      <c r="H19" s="2" t="s">
        <v>65</v>
      </c>
      <c r="I19" s="2" t="s">
        <v>99</v>
      </c>
      <c r="J19" s="2" t="s">
        <v>31</v>
      </c>
      <c r="K19" s="2" t="s">
        <v>100</v>
      </c>
      <c r="L19" s="4">
        <v>1</v>
      </c>
      <c r="M19" s="4">
        <v>1</v>
      </c>
      <c r="N19" s="4">
        <v>38</v>
      </c>
      <c r="O19" s="4">
        <v>7</v>
      </c>
      <c r="P19" s="4">
        <v>12</v>
      </c>
      <c r="Q19" s="10">
        <f t="shared" si="1"/>
        <v>36.84210526315789</v>
      </c>
      <c r="R19" s="5">
        <v>4.5999999999999996</v>
      </c>
      <c r="S19" s="2" t="s">
        <v>55</v>
      </c>
      <c r="T19" s="5">
        <v>3.5</v>
      </c>
      <c r="U19" s="5">
        <v>58.2</v>
      </c>
      <c r="V19" s="2" t="s">
        <v>357</v>
      </c>
      <c r="W19" s="4">
        <v>5</v>
      </c>
      <c r="X19" s="4">
        <v>3</v>
      </c>
      <c r="Y19" s="2" t="s">
        <v>44</v>
      </c>
      <c r="Z19" s="2" t="s">
        <v>52</v>
      </c>
    </row>
    <row r="20" spans="1:26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3" t="s">
        <v>346</v>
      </c>
      <c r="F20" s="4">
        <f t="shared" ca="1" si="0"/>
        <v>2</v>
      </c>
      <c r="G20" s="2" t="s">
        <v>39</v>
      </c>
      <c r="H20" s="2" t="s">
        <v>29</v>
      </c>
      <c r="I20" s="2" t="s">
        <v>41</v>
      </c>
      <c r="J20" s="2" t="s">
        <v>31</v>
      </c>
      <c r="K20" s="2" t="s">
        <v>42</v>
      </c>
      <c r="L20" s="4">
        <v>1</v>
      </c>
      <c r="M20" s="4">
        <v>2</v>
      </c>
      <c r="N20" s="4">
        <v>26</v>
      </c>
      <c r="O20" s="4">
        <v>16</v>
      </c>
      <c r="P20" s="4">
        <v>2</v>
      </c>
      <c r="Q20" s="10">
        <f t="shared" si="1"/>
        <v>88.888888888888886</v>
      </c>
      <c r="R20" s="5">
        <v>5.5</v>
      </c>
      <c r="S20" s="2" t="s">
        <v>43</v>
      </c>
      <c r="T20" s="5">
        <v>1.8</v>
      </c>
      <c r="U20" s="5">
        <v>53.7</v>
      </c>
      <c r="V20" s="2" t="s">
        <v>53</v>
      </c>
      <c r="W20" s="4">
        <v>4</v>
      </c>
      <c r="X20" s="4">
        <v>4</v>
      </c>
      <c r="Y20" s="2" t="s">
        <v>44</v>
      </c>
      <c r="Z20" s="2" t="s">
        <v>52</v>
      </c>
    </row>
    <row r="21" spans="1:26" x14ac:dyDescent="0.25">
      <c r="A21" s="2" t="s">
        <v>101</v>
      </c>
      <c r="B21" s="2" t="s">
        <v>102</v>
      </c>
      <c r="C21" s="2" t="s">
        <v>103</v>
      </c>
      <c r="D21" s="2" t="s">
        <v>104</v>
      </c>
      <c r="E21" s="3" t="s">
        <v>345</v>
      </c>
      <c r="F21" s="4">
        <f t="shared" ca="1" si="0"/>
        <v>2</v>
      </c>
      <c r="G21" s="2" t="s">
        <v>39</v>
      </c>
      <c r="H21" s="2" t="s">
        <v>29</v>
      </c>
      <c r="I21" s="2" t="s">
        <v>41</v>
      </c>
      <c r="J21" s="2" t="s">
        <v>31</v>
      </c>
      <c r="K21" s="2" t="s">
        <v>42</v>
      </c>
      <c r="L21" s="4">
        <v>2</v>
      </c>
      <c r="M21" s="4">
        <v>2</v>
      </c>
      <c r="N21" s="4">
        <v>34</v>
      </c>
      <c r="O21" s="4">
        <v>13</v>
      </c>
      <c r="P21" s="4">
        <v>2</v>
      </c>
      <c r="Q21" s="10">
        <f t="shared" si="1"/>
        <v>86.666666666666671</v>
      </c>
      <c r="R21" s="5">
        <v>5.7</v>
      </c>
      <c r="S21" s="2" t="s">
        <v>32</v>
      </c>
      <c r="T21" s="5">
        <v>3.2</v>
      </c>
      <c r="U21" s="5">
        <v>41.7</v>
      </c>
      <c r="V21" s="2" t="s">
        <v>357</v>
      </c>
      <c r="W21" s="4">
        <v>5</v>
      </c>
      <c r="X21" s="4">
        <v>5</v>
      </c>
      <c r="Y21" s="2" t="s">
        <v>33</v>
      </c>
      <c r="Z21" s="2" t="s">
        <v>56</v>
      </c>
    </row>
    <row r="22" spans="1:26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3" t="s">
        <v>347</v>
      </c>
      <c r="F22" s="4">
        <f t="shared" ca="1" si="0"/>
        <v>2</v>
      </c>
      <c r="G22" s="2" t="s">
        <v>28</v>
      </c>
      <c r="H22" s="2" t="s">
        <v>49</v>
      </c>
      <c r="I22" s="2" t="s">
        <v>50</v>
      </c>
      <c r="J22" s="2" t="s">
        <v>31</v>
      </c>
      <c r="K22" s="2" t="s">
        <v>51</v>
      </c>
      <c r="L22" s="4">
        <v>1</v>
      </c>
      <c r="M22" s="4">
        <v>2</v>
      </c>
      <c r="N22" s="4">
        <v>41</v>
      </c>
      <c r="O22" s="4">
        <v>10</v>
      </c>
      <c r="P22" s="4">
        <v>8</v>
      </c>
      <c r="Q22" s="10">
        <f t="shared" si="1"/>
        <v>55.555555555555557</v>
      </c>
      <c r="R22" s="5">
        <v>7.6</v>
      </c>
      <c r="S22" s="2" t="s">
        <v>55</v>
      </c>
      <c r="T22" s="5">
        <v>1.2</v>
      </c>
      <c r="U22" s="5">
        <v>53.3</v>
      </c>
      <c r="V22" s="2" t="s">
        <v>356</v>
      </c>
      <c r="W22" s="4">
        <v>4</v>
      </c>
      <c r="X22" s="4">
        <v>5</v>
      </c>
      <c r="Y22" s="2" t="s">
        <v>33</v>
      </c>
      <c r="Z22" s="2" t="s">
        <v>72</v>
      </c>
    </row>
    <row r="23" spans="1:26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3" t="s">
        <v>342</v>
      </c>
      <c r="F23" s="4">
        <f t="shared" ca="1" si="0"/>
        <v>16</v>
      </c>
      <c r="G23" s="2" t="s">
        <v>28</v>
      </c>
      <c r="H23" s="2" t="s">
        <v>49</v>
      </c>
      <c r="I23" s="2" t="s">
        <v>50</v>
      </c>
      <c r="J23" s="2" t="s">
        <v>31</v>
      </c>
      <c r="K23" s="2" t="s">
        <v>51</v>
      </c>
      <c r="L23" s="4">
        <v>2</v>
      </c>
      <c r="M23" s="4">
        <v>2</v>
      </c>
      <c r="N23" s="4">
        <v>35</v>
      </c>
      <c r="O23" s="4">
        <v>8</v>
      </c>
      <c r="P23" s="4">
        <v>8</v>
      </c>
      <c r="Q23" s="10">
        <f t="shared" si="1"/>
        <v>50</v>
      </c>
      <c r="R23" s="5">
        <v>4.8</v>
      </c>
      <c r="S23" s="2" t="s">
        <v>55</v>
      </c>
      <c r="T23" s="5">
        <v>2.7</v>
      </c>
      <c r="U23" s="5">
        <v>68.599999999999994</v>
      </c>
      <c r="V23" s="2" t="s">
        <v>354</v>
      </c>
      <c r="W23" s="4">
        <v>5</v>
      </c>
      <c r="X23" s="4">
        <v>3</v>
      </c>
      <c r="Y23" s="2" t="s">
        <v>33</v>
      </c>
      <c r="Z23" s="2" t="s">
        <v>109</v>
      </c>
    </row>
    <row r="24" spans="1:26" x14ac:dyDescent="0.25">
      <c r="A24" s="2" t="s">
        <v>110</v>
      </c>
      <c r="B24" s="2" t="s">
        <v>111</v>
      </c>
      <c r="C24" s="2" t="s">
        <v>112</v>
      </c>
      <c r="D24" s="2" t="s">
        <v>113</v>
      </c>
      <c r="E24" s="3" t="s">
        <v>335</v>
      </c>
      <c r="F24" s="4">
        <f t="shared" ca="1" si="0"/>
        <v>16</v>
      </c>
      <c r="G24" s="2" t="s">
        <v>39</v>
      </c>
      <c r="H24" s="2" t="s">
        <v>40</v>
      </c>
      <c r="I24" s="2" t="s">
        <v>30</v>
      </c>
      <c r="J24" s="2" t="s">
        <v>31</v>
      </c>
      <c r="K24" s="2" t="s">
        <v>31</v>
      </c>
      <c r="L24" s="4">
        <v>1</v>
      </c>
      <c r="M24" s="4">
        <v>3</v>
      </c>
      <c r="N24" s="4">
        <v>28</v>
      </c>
      <c r="O24" s="4">
        <v>15</v>
      </c>
      <c r="P24" s="4">
        <v>3</v>
      </c>
      <c r="Q24" s="10">
        <f t="shared" si="1"/>
        <v>83.333333333333343</v>
      </c>
      <c r="R24" s="5">
        <v>6.7</v>
      </c>
      <c r="S24" s="2" t="s">
        <v>43</v>
      </c>
      <c r="T24" s="5">
        <v>2</v>
      </c>
      <c r="U24" s="5">
        <v>40.700000000000003</v>
      </c>
      <c r="V24" s="2" t="s">
        <v>53</v>
      </c>
      <c r="W24" s="4">
        <v>5</v>
      </c>
      <c r="X24" s="4">
        <v>5</v>
      </c>
      <c r="Y24" s="2" t="s">
        <v>33</v>
      </c>
      <c r="Z24" s="2" t="s">
        <v>109</v>
      </c>
    </row>
    <row r="25" spans="1:26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3" t="s">
        <v>341</v>
      </c>
      <c r="F25" s="4">
        <f t="shared" ca="1" si="0"/>
        <v>14</v>
      </c>
      <c r="G25" s="2" t="s">
        <v>39</v>
      </c>
      <c r="H25" s="2" t="s">
        <v>40</v>
      </c>
      <c r="I25" s="2" t="s">
        <v>30</v>
      </c>
      <c r="J25" s="2" t="s">
        <v>31</v>
      </c>
      <c r="K25" s="2" t="s">
        <v>31</v>
      </c>
      <c r="L25" s="4">
        <v>2</v>
      </c>
      <c r="M25" s="4">
        <v>3</v>
      </c>
      <c r="N25" s="4">
        <v>45</v>
      </c>
      <c r="O25" s="4">
        <v>13</v>
      </c>
      <c r="P25" s="4">
        <v>3</v>
      </c>
      <c r="Q25" s="10">
        <f t="shared" si="1"/>
        <v>81.25</v>
      </c>
      <c r="R25" s="5">
        <v>6</v>
      </c>
      <c r="S25" s="2" t="s">
        <v>43</v>
      </c>
      <c r="T25" s="5">
        <v>2.2000000000000002</v>
      </c>
      <c r="U25" s="5">
        <v>74.3</v>
      </c>
      <c r="V25" s="2" t="s">
        <v>355</v>
      </c>
      <c r="W25" s="4">
        <v>5</v>
      </c>
      <c r="X25" s="4">
        <v>5</v>
      </c>
      <c r="Y25" s="2" t="s">
        <v>33</v>
      </c>
      <c r="Z25" s="2" t="s">
        <v>34</v>
      </c>
    </row>
    <row r="26" spans="1:26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3" t="s">
        <v>340</v>
      </c>
      <c r="F26" s="4">
        <f t="shared" ca="1" si="0"/>
        <v>18</v>
      </c>
      <c r="G26" s="2" t="s">
        <v>39</v>
      </c>
      <c r="H26" s="2" t="s">
        <v>40</v>
      </c>
      <c r="I26" s="2" t="s">
        <v>30</v>
      </c>
      <c r="J26" s="2" t="s">
        <v>31</v>
      </c>
      <c r="K26" s="2" t="s">
        <v>31</v>
      </c>
      <c r="L26" s="4">
        <v>3</v>
      </c>
      <c r="M26" s="4">
        <v>3</v>
      </c>
      <c r="N26" s="4">
        <v>34</v>
      </c>
      <c r="O26" s="4">
        <v>11</v>
      </c>
      <c r="P26" s="4">
        <v>6</v>
      </c>
      <c r="Q26" s="10">
        <f t="shared" si="1"/>
        <v>64.705882352941174</v>
      </c>
      <c r="R26" s="5">
        <v>6.4</v>
      </c>
      <c r="S26" s="2" t="s">
        <v>43</v>
      </c>
      <c r="T26" s="5">
        <v>2</v>
      </c>
      <c r="U26" s="5">
        <v>74.599999999999994</v>
      </c>
      <c r="V26" s="2" t="s">
        <v>357</v>
      </c>
      <c r="W26" s="4">
        <v>4</v>
      </c>
      <c r="X26" s="4">
        <v>3</v>
      </c>
      <c r="Y26" s="2" t="s">
        <v>44</v>
      </c>
      <c r="Z26" s="2" t="s">
        <v>54</v>
      </c>
    </row>
    <row r="27" spans="1:26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3" t="s">
        <v>345</v>
      </c>
      <c r="F27" s="4">
        <f t="shared" ca="1" si="0"/>
        <v>10</v>
      </c>
      <c r="G27" s="2" t="s">
        <v>28</v>
      </c>
      <c r="H27" s="2" t="s">
        <v>29</v>
      </c>
      <c r="I27" s="2" t="s">
        <v>118</v>
      </c>
      <c r="J27" s="2" t="s">
        <v>31</v>
      </c>
      <c r="K27" s="2" t="s">
        <v>119</v>
      </c>
      <c r="L27" s="4">
        <v>1</v>
      </c>
      <c r="M27" s="4">
        <v>1</v>
      </c>
      <c r="N27" s="4">
        <v>26</v>
      </c>
      <c r="O27" s="4">
        <v>17</v>
      </c>
      <c r="P27" s="4">
        <v>5</v>
      </c>
      <c r="Q27" s="10">
        <f t="shared" si="1"/>
        <v>77.272727272727266</v>
      </c>
      <c r="R27" s="5">
        <v>4.5</v>
      </c>
      <c r="S27" s="2" t="s">
        <v>32</v>
      </c>
      <c r="T27" s="5">
        <v>3.1</v>
      </c>
      <c r="U27" s="5">
        <v>43.5</v>
      </c>
      <c r="V27" s="2" t="s">
        <v>354</v>
      </c>
      <c r="W27" s="4">
        <v>5</v>
      </c>
      <c r="X27" s="4">
        <v>4</v>
      </c>
      <c r="Y27" s="2" t="s">
        <v>44</v>
      </c>
      <c r="Z27" s="2" t="s">
        <v>34</v>
      </c>
    </row>
    <row r="28" spans="1:2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3" t="s">
        <v>343</v>
      </c>
      <c r="F28" s="4">
        <f t="shared" ca="1" si="0"/>
        <v>9</v>
      </c>
      <c r="G28" s="2" t="s">
        <v>39</v>
      </c>
      <c r="H28" s="2" t="s">
        <v>49</v>
      </c>
      <c r="I28" s="2" t="s">
        <v>30</v>
      </c>
      <c r="J28" s="2" t="s">
        <v>31</v>
      </c>
      <c r="K28" s="2" t="s">
        <v>31</v>
      </c>
      <c r="L28" s="4">
        <v>1</v>
      </c>
      <c r="M28" s="4">
        <v>1</v>
      </c>
      <c r="N28" s="4">
        <v>31</v>
      </c>
      <c r="O28" s="4">
        <v>8</v>
      </c>
      <c r="P28" s="4">
        <v>9</v>
      </c>
      <c r="Q28" s="10">
        <f t="shared" si="1"/>
        <v>47.058823529411761</v>
      </c>
      <c r="R28" s="5">
        <v>5.7</v>
      </c>
      <c r="S28" s="2" t="s">
        <v>43</v>
      </c>
      <c r="T28" s="5">
        <v>2.7</v>
      </c>
      <c r="U28" s="5">
        <v>59.8</v>
      </c>
      <c r="V28" s="2" t="s">
        <v>53</v>
      </c>
      <c r="W28" s="4">
        <v>4</v>
      </c>
      <c r="X28" s="4">
        <v>4</v>
      </c>
      <c r="Y28" s="2" t="s">
        <v>44</v>
      </c>
      <c r="Z28" s="2" t="s">
        <v>124</v>
      </c>
    </row>
    <row r="29" spans="1:2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3" t="s">
        <v>348</v>
      </c>
      <c r="F29" s="4">
        <f t="shared" ca="1" si="0"/>
        <v>12</v>
      </c>
      <c r="G29" s="2" t="s">
        <v>28</v>
      </c>
      <c r="H29" s="2" t="s">
        <v>65</v>
      </c>
      <c r="I29" s="2" t="s">
        <v>129</v>
      </c>
      <c r="J29" s="2" t="s">
        <v>130</v>
      </c>
      <c r="K29" s="2" t="s">
        <v>131</v>
      </c>
      <c r="L29" s="4">
        <v>1</v>
      </c>
      <c r="M29" s="4">
        <v>1</v>
      </c>
      <c r="N29" s="4">
        <v>25</v>
      </c>
      <c r="O29" s="4">
        <v>7</v>
      </c>
      <c r="P29" s="4">
        <v>12</v>
      </c>
      <c r="Q29" s="10">
        <f t="shared" si="1"/>
        <v>36.84210526315789</v>
      </c>
      <c r="R29" s="5">
        <v>6.5</v>
      </c>
      <c r="S29" s="2" t="s">
        <v>55</v>
      </c>
      <c r="T29" s="5">
        <v>2</v>
      </c>
      <c r="U29" s="5">
        <v>41.2</v>
      </c>
      <c r="V29" s="2" t="s">
        <v>53</v>
      </c>
      <c r="W29" s="4">
        <v>3</v>
      </c>
      <c r="X29" s="4">
        <v>4</v>
      </c>
      <c r="Y29" s="2" t="s">
        <v>44</v>
      </c>
      <c r="Z29" s="2" t="s">
        <v>132</v>
      </c>
    </row>
    <row r="30" spans="1:26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3" t="s">
        <v>349</v>
      </c>
      <c r="F30" s="4">
        <f t="shared" ca="1" si="0"/>
        <v>16</v>
      </c>
      <c r="G30" s="2" t="s">
        <v>39</v>
      </c>
      <c r="H30" s="2" t="s">
        <v>40</v>
      </c>
      <c r="I30" s="2" t="s">
        <v>30</v>
      </c>
      <c r="J30" s="2" t="s">
        <v>31</v>
      </c>
      <c r="K30" s="2" t="s">
        <v>31</v>
      </c>
      <c r="L30" s="4">
        <v>1</v>
      </c>
      <c r="M30" s="4">
        <v>2</v>
      </c>
      <c r="N30" s="4">
        <v>35</v>
      </c>
      <c r="O30" s="4">
        <v>15</v>
      </c>
      <c r="P30" s="4">
        <v>6</v>
      </c>
      <c r="Q30" s="10">
        <f t="shared" si="1"/>
        <v>71.428571428571431</v>
      </c>
      <c r="R30" s="5">
        <v>5</v>
      </c>
      <c r="S30" s="2" t="s">
        <v>43</v>
      </c>
      <c r="T30" s="5">
        <v>1.6</v>
      </c>
      <c r="U30" s="5">
        <v>65.5</v>
      </c>
      <c r="V30" s="2" t="s">
        <v>354</v>
      </c>
      <c r="W30" s="4">
        <v>5</v>
      </c>
      <c r="X30" s="4">
        <v>4</v>
      </c>
      <c r="Y30" s="2" t="s">
        <v>44</v>
      </c>
      <c r="Z30" s="2" t="s">
        <v>56</v>
      </c>
    </row>
    <row r="31" spans="1:26" x14ac:dyDescent="0.25">
      <c r="A31" s="2" t="s">
        <v>133</v>
      </c>
      <c r="B31" s="2" t="s">
        <v>134</v>
      </c>
      <c r="C31" s="2" t="s">
        <v>135</v>
      </c>
      <c r="D31" s="2" t="s">
        <v>136</v>
      </c>
      <c r="E31" s="3" t="s">
        <v>335</v>
      </c>
      <c r="F31" s="4">
        <f t="shared" ca="1" si="0"/>
        <v>6</v>
      </c>
      <c r="G31" s="2" t="s">
        <v>39</v>
      </c>
      <c r="H31" s="2" t="s">
        <v>40</v>
      </c>
      <c r="I31" s="2" t="s">
        <v>30</v>
      </c>
      <c r="J31" s="2" t="s">
        <v>31</v>
      </c>
      <c r="K31" s="2" t="s">
        <v>31</v>
      </c>
      <c r="L31" s="4">
        <v>2</v>
      </c>
      <c r="M31" s="4">
        <v>2</v>
      </c>
      <c r="N31" s="4">
        <v>29</v>
      </c>
      <c r="O31" s="4">
        <v>15</v>
      </c>
      <c r="P31" s="4">
        <v>8</v>
      </c>
      <c r="Q31" s="10">
        <f t="shared" si="1"/>
        <v>65.217391304347828</v>
      </c>
      <c r="R31" s="5">
        <v>4.0999999999999996</v>
      </c>
      <c r="S31" s="2" t="s">
        <v>43</v>
      </c>
      <c r="T31" s="5">
        <v>3.4</v>
      </c>
      <c r="U31" s="5">
        <v>52.8</v>
      </c>
      <c r="V31" s="2" t="s">
        <v>355</v>
      </c>
      <c r="W31" s="4">
        <v>4</v>
      </c>
      <c r="X31" s="4">
        <v>5</v>
      </c>
      <c r="Y31" s="2" t="s">
        <v>44</v>
      </c>
      <c r="Z31" s="2" t="s">
        <v>84</v>
      </c>
    </row>
    <row r="32" spans="1:26" x14ac:dyDescent="0.25">
      <c r="A32" s="2" t="s">
        <v>137</v>
      </c>
      <c r="B32" s="2" t="s">
        <v>138</v>
      </c>
      <c r="C32" s="2" t="s">
        <v>139</v>
      </c>
      <c r="D32" s="2" t="s">
        <v>140</v>
      </c>
      <c r="E32" s="3" t="s">
        <v>338</v>
      </c>
      <c r="F32" s="4">
        <f t="shared" ca="1" si="0"/>
        <v>10</v>
      </c>
      <c r="G32" s="2" t="s">
        <v>28</v>
      </c>
      <c r="H32" s="2" t="s">
        <v>29</v>
      </c>
      <c r="I32" s="2" t="s">
        <v>41</v>
      </c>
      <c r="J32" s="2" t="s">
        <v>31</v>
      </c>
      <c r="K32" s="2" t="s">
        <v>42</v>
      </c>
      <c r="L32" s="4">
        <v>1</v>
      </c>
      <c r="M32" s="4">
        <v>1</v>
      </c>
      <c r="N32" s="4">
        <v>31</v>
      </c>
      <c r="O32" s="4">
        <v>13</v>
      </c>
      <c r="P32" s="4">
        <v>6</v>
      </c>
      <c r="Q32" s="10">
        <f t="shared" si="1"/>
        <v>68.421052631578945</v>
      </c>
      <c r="R32" s="5">
        <v>3.7</v>
      </c>
      <c r="S32" s="2" t="s">
        <v>32</v>
      </c>
      <c r="T32" s="5">
        <v>2.9</v>
      </c>
      <c r="U32" s="5">
        <v>76.3</v>
      </c>
      <c r="V32" s="2" t="s">
        <v>356</v>
      </c>
      <c r="W32" s="4">
        <v>5</v>
      </c>
      <c r="X32" s="4">
        <v>5</v>
      </c>
      <c r="Y32" s="2" t="s">
        <v>44</v>
      </c>
      <c r="Z32" s="2" t="s">
        <v>72</v>
      </c>
    </row>
    <row r="33" spans="1:26" x14ac:dyDescent="0.25">
      <c r="A33" s="2" t="s">
        <v>141</v>
      </c>
      <c r="B33" s="2" t="s">
        <v>142</v>
      </c>
      <c r="C33" s="2" t="s">
        <v>143</v>
      </c>
      <c r="D33" s="2" t="s">
        <v>144</v>
      </c>
      <c r="E33" s="3" t="s">
        <v>342</v>
      </c>
      <c r="F33" s="4">
        <f t="shared" ca="1" si="0"/>
        <v>15</v>
      </c>
      <c r="G33" s="2" t="s">
        <v>39</v>
      </c>
      <c r="H33" s="2" t="s">
        <v>49</v>
      </c>
      <c r="I33" s="2" t="s">
        <v>30</v>
      </c>
      <c r="J33" s="2" t="s">
        <v>31</v>
      </c>
      <c r="K33" s="2" t="s">
        <v>31</v>
      </c>
      <c r="L33" s="4">
        <v>1</v>
      </c>
      <c r="M33" s="4">
        <v>3</v>
      </c>
      <c r="N33" s="4">
        <v>34</v>
      </c>
      <c r="O33" s="4">
        <v>12</v>
      </c>
      <c r="P33" s="4">
        <v>4</v>
      </c>
      <c r="Q33" s="10">
        <f t="shared" si="1"/>
        <v>75</v>
      </c>
      <c r="R33" s="5">
        <v>5.0999999999999996</v>
      </c>
      <c r="S33" s="2" t="s">
        <v>55</v>
      </c>
      <c r="T33" s="5">
        <v>1.8</v>
      </c>
      <c r="U33" s="5">
        <v>66.8</v>
      </c>
      <c r="V33" s="2" t="s">
        <v>355</v>
      </c>
      <c r="W33" s="4">
        <v>4</v>
      </c>
      <c r="X33" s="4">
        <v>5</v>
      </c>
      <c r="Y33" s="2" t="s">
        <v>44</v>
      </c>
      <c r="Z33" s="2" t="s">
        <v>109</v>
      </c>
    </row>
    <row r="34" spans="1:26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3" t="s">
        <v>340</v>
      </c>
      <c r="F34" s="4">
        <f t="shared" ca="1" si="0"/>
        <v>4</v>
      </c>
      <c r="G34" s="2" t="s">
        <v>39</v>
      </c>
      <c r="H34" s="2" t="s">
        <v>49</v>
      </c>
      <c r="I34" s="2" t="s">
        <v>30</v>
      </c>
      <c r="J34" s="2" t="s">
        <v>31</v>
      </c>
      <c r="K34" s="2" t="s">
        <v>31</v>
      </c>
      <c r="L34" s="4">
        <v>2</v>
      </c>
      <c r="M34" s="4">
        <v>3</v>
      </c>
      <c r="N34" s="4">
        <v>27</v>
      </c>
      <c r="O34" s="4">
        <v>13</v>
      </c>
      <c r="P34" s="4">
        <v>9</v>
      </c>
      <c r="Q34" s="10">
        <f t="shared" si="1"/>
        <v>59.090909090909093</v>
      </c>
      <c r="R34" s="5">
        <v>5.9</v>
      </c>
      <c r="S34" s="2" t="s">
        <v>43</v>
      </c>
      <c r="T34" s="5">
        <v>2.7</v>
      </c>
      <c r="U34" s="5">
        <v>53.3</v>
      </c>
      <c r="V34" s="2" t="s">
        <v>357</v>
      </c>
      <c r="W34" s="4">
        <v>5</v>
      </c>
      <c r="X34" s="4">
        <v>4</v>
      </c>
      <c r="Y34" s="2" t="s">
        <v>44</v>
      </c>
      <c r="Z34" s="2"/>
    </row>
    <row r="35" spans="1:26" x14ac:dyDescent="0.25">
      <c r="A35" s="2" t="s">
        <v>141</v>
      </c>
      <c r="B35" s="2" t="s">
        <v>142</v>
      </c>
      <c r="C35" s="2" t="s">
        <v>143</v>
      </c>
      <c r="D35" s="2" t="s">
        <v>144</v>
      </c>
      <c r="E35" s="3" t="s">
        <v>341</v>
      </c>
      <c r="F35" s="4">
        <f t="shared" ca="1" si="0"/>
        <v>5</v>
      </c>
      <c r="G35" s="2" t="s">
        <v>39</v>
      </c>
      <c r="H35" s="2" t="s">
        <v>49</v>
      </c>
      <c r="I35" s="2" t="s">
        <v>30</v>
      </c>
      <c r="J35" s="2" t="s">
        <v>31</v>
      </c>
      <c r="K35" s="2" t="s">
        <v>31</v>
      </c>
      <c r="L35" s="4">
        <v>3</v>
      </c>
      <c r="M35" s="4">
        <v>3</v>
      </c>
      <c r="N35" s="4">
        <v>39</v>
      </c>
      <c r="O35" s="4">
        <v>13</v>
      </c>
      <c r="P35" s="4">
        <v>9</v>
      </c>
      <c r="Q35" s="10">
        <f t="shared" si="1"/>
        <v>59.090909090909093</v>
      </c>
      <c r="R35" s="5">
        <v>6.5</v>
      </c>
      <c r="S35" s="2" t="s">
        <v>43</v>
      </c>
      <c r="T35" s="5">
        <v>2.7</v>
      </c>
      <c r="U35" s="5">
        <v>48.6</v>
      </c>
      <c r="V35" s="2" t="s">
        <v>356</v>
      </c>
      <c r="W35" s="4">
        <v>3</v>
      </c>
      <c r="X35" s="4">
        <v>4</v>
      </c>
      <c r="Y35" s="2" t="s">
        <v>33</v>
      </c>
      <c r="Z35" s="2" t="s">
        <v>84</v>
      </c>
    </row>
    <row r="36" spans="1:26" x14ac:dyDescent="0.25">
      <c r="A36" s="2" t="s">
        <v>145</v>
      </c>
      <c r="B36" s="2" t="s">
        <v>146</v>
      </c>
      <c r="C36" s="2" t="s">
        <v>147</v>
      </c>
      <c r="D36" s="2" t="s">
        <v>148</v>
      </c>
      <c r="E36" s="3" t="s">
        <v>339</v>
      </c>
      <c r="F36" s="4">
        <f t="shared" ca="1" si="0"/>
        <v>5</v>
      </c>
      <c r="G36" s="2" t="s">
        <v>28</v>
      </c>
      <c r="H36" s="2" t="s">
        <v>29</v>
      </c>
      <c r="I36" s="2" t="s">
        <v>50</v>
      </c>
      <c r="J36" s="2" t="s">
        <v>31</v>
      </c>
      <c r="K36" s="2" t="s">
        <v>51</v>
      </c>
      <c r="L36" s="4">
        <v>1</v>
      </c>
      <c r="M36" s="4">
        <v>3</v>
      </c>
      <c r="N36" s="4">
        <v>42</v>
      </c>
      <c r="O36" s="4">
        <v>14</v>
      </c>
      <c r="P36" s="4">
        <v>5</v>
      </c>
      <c r="Q36" s="10">
        <f t="shared" si="1"/>
        <v>73.68421052631578</v>
      </c>
      <c r="R36" s="5">
        <v>7.4</v>
      </c>
      <c r="S36" s="2" t="s">
        <v>32</v>
      </c>
      <c r="T36" s="5">
        <v>1.8</v>
      </c>
      <c r="U36" s="5">
        <v>56</v>
      </c>
      <c r="V36" s="2" t="s">
        <v>356</v>
      </c>
      <c r="W36" s="4">
        <v>4</v>
      </c>
      <c r="X36" s="4">
        <v>3</v>
      </c>
      <c r="Y36" s="2" t="s">
        <v>33</v>
      </c>
      <c r="Z36" s="2" t="s">
        <v>132</v>
      </c>
    </row>
    <row r="37" spans="1:26" x14ac:dyDescent="0.25">
      <c r="A37" s="2" t="s">
        <v>145</v>
      </c>
      <c r="B37" s="2" t="s">
        <v>146</v>
      </c>
      <c r="C37" s="2" t="s">
        <v>147</v>
      </c>
      <c r="D37" s="2" t="s">
        <v>148</v>
      </c>
      <c r="E37" s="3" t="s">
        <v>339</v>
      </c>
      <c r="F37" s="4">
        <f t="shared" ca="1" si="0"/>
        <v>9</v>
      </c>
      <c r="G37" s="2" t="s">
        <v>28</v>
      </c>
      <c r="H37" s="2" t="s">
        <v>29</v>
      </c>
      <c r="I37" s="2" t="s">
        <v>50</v>
      </c>
      <c r="J37" s="2" t="s">
        <v>31</v>
      </c>
      <c r="K37" s="2" t="s">
        <v>51</v>
      </c>
      <c r="L37" s="4">
        <v>2</v>
      </c>
      <c r="M37" s="4">
        <v>3</v>
      </c>
      <c r="N37" s="4">
        <v>41</v>
      </c>
      <c r="O37" s="4">
        <v>18</v>
      </c>
      <c r="P37" s="4">
        <v>3</v>
      </c>
      <c r="Q37" s="10">
        <f t="shared" si="1"/>
        <v>85.714285714285708</v>
      </c>
      <c r="R37" s="5">
        <v>5.2</v>
      </c>
      <c r="S37" s="2" t="s">
        <v>32</v>
      </c>
      <c r="T37" s="5">
        <v>2.2999999999999998</v>
      </c>
      <c r="U37" s="5">
        <v>63.6</v>
      </c>
      <c r="V37" s="2" t="s">
        <v>355</v>
      </c>
      <c r="W37" s="4">
        <v>5</v>
      </c>
      <c r="X37" s="4">
        <v>4</v>
      </c>
      <c r="Y37" s="2" t="s">
        <v>44</v>
      </c>
      <c r="Z37" s="2" t="s">
        <v>54</v>
      </c>
    </row>
    <row r="38" spans="1:26" x14ac:dyDescent="0.25">
      <c r="A38" s="2" t="s">
        <v>145</v>
      </c>
      <c r="B38" s="2" t="s">
        <v>146</v>
      </c>
      <c r="C38" s="2" t="s">
        <v>147</v>
      </c>
      <c r="D38" s="2" t="s">
        <v>148</v>
      </c>
      <c r="E38" s="3" t="s">
        <v>344</v>
      </c>
      <c r="F38" s="4">
        <f t="shared" ca="1" si="0"/>
        <v>3</v>
      </c>
      <c r="G38" s="2" t="s">
        <v>28</v>
      </c>
      <c r="H38" s="2" t="s">
        <v>29</v>
      </c>
      <c r="I38" s="2" t="s">
        <v>50</v>
      </c>
      <c r="J38" s="2" t="s">
        <v>31</v>
      </c>
      <c r="K38" s="2" t="s">
        <v>51</v>
      </c>
      <c r="L38" s="4">
        <v>3</v>
      </c>
      <c r="M38" s="4">
        <v>3</v>
      </c>
      <c r="N38" s="4">
        <v>35</v>
      </c>
      <c r="O38" s="4">
        <v>12</v>
      </c>
      <c r="P38" s="4">
        <v>3</v>
      </c>
      <c r="Q38" s="10">
        <f t="shared" si="1"/>
        <v>80</v>
      </c>
      <c r="R38" s="5">
        <v>5.4</v>
      </c>
      <c r="S38" s="2" t="s">
        <v>32</v>
      </c>
      <c r="T38" s="5">
        <v>1.6</v>
      </c>
      <c r="U38" s="5">
        <v>78.599999999999994</v>
      </c>
      <c r="V38" s="2" t="s">
        <v>53</v>
      </c>
      <c r="W38" s="4">
        <v>4</v>
      </c>
      <c r="X38" s="4">
        <v>4</v>
      </c>
      <c r="Y38" s="2" t="s">
        <v>44</v>
      </c>
      <c r="Z38" s="2" t="s">
        <v>52</v>
      </c>
    </row>
    <row r="39" spans="1:26" x14ac:dyDescent="0.25">
      <c r="A39" s="2" t="s">
        <v>149</v>
      </c>
      <c r="B39" s="2" t="s">
        <v>150</v>
      </c>
      <c r="C39" s="2" t="s">
        <v>151</v>
      </c>
      <c r="D39" s="2" t="s">
        <v>152</v>
      </c>
      <c r="E39" s="3" t="s">
        <v>348</v>
      </c>
      <c r="F39" s="4">
        <f t="shared" ca="1" si="0"/>
        <v>17</v>
      </c>
      <c r="G39" s="2" t="s">
        <v>39</v>
      </c>
      <c r="H39" s="2" t="s">
        <v>40</v>
      </c>
      <c r="I39" s="2" t="s">
        <v>30</v>
      </c>
      <c r="J39" s="2" t="s">
        <v>31</v>
      </c>
      <c r="K39" s="2" t="s">
        <v>31</v>
      </c>
      <c r="L39" s="4">
        <v>1</v>
      </c>
      <c r="M39" s="4">
        <v>1</v>
      </c>
      <c r="N39" s="4">
        <v>39</v>
      </c>
      <c r="O39" s="4">
        <v>11</v>
      </c>
      <c r="P39" s="4">
        <v>6</v>
      </c>
      <c r="Q39" s="10">
        <f t="shared" si="1"/>
        <v>64.705882352941174</v>
      </c>
      <c r="R39" s="5">
        <v>3.8</v>
      </c>
      <c r="S39" s="2" t="s">
        <v>43</v>
      </c>
      <c r="T39" s="5">
        <v>2</v>
      </c>
      <c r="U39" s="5">
        <v>73.099999999999994</v>
      </c>
      <c r="V39" s="2" t="s">
        <v>354</v>
      </c>
      <c r="W39" s="4">
        <v>3</v>
      </c>
      <c r="X39" s="4">
        <v>5</v>
      </c>
      <c r="Y39" s="2" t="s">
        <v>44</v>
      </c>
      <c r="Z39" s="2" t="s">
        <v>132</v>
      </c>
    </row>
    <row r="40" spans="1:26" x14ac:dyDescent="0.25">
      <c r="A40" s="2" t="s">
        <v>153</v>
      </c>
      <c r="B40" s="2" t="s">
        <v>154</v>
      </c>
      <c r="C40" s="2" t="s">
        <v>155</v>
      </c>
      <c r="D40" s="2" t="s">
        <v>156</v>
      </c>
      <c r="E40" s="3" t="s">
        <v>339</v>
      </c>
      <c r="F40" s="4">
        <f t="shared" ca="1" si="0"/>
        <v>12</v>
      </c>
      <c r="G40" s="2" t="s">
        <v>28</v>
      </c>
      <c r="H40" s="2" t="s">
        <v>65</v>
      </c>
      <c r="I40" s="2" t="s">
        <v>66</v>
      </c>
      <c r="J40" s="2" t="s">
        <v>31</v>
      </c>
      <c r="K40" s="2" t="s">
        <v>67</v>
      </c>
      <c r="L40" s="4">
        <v>1</v>
      </c>
      <c r="M40" s="4">
        <v>2</v>
      </c>
      <c r="N40" s="4">
        <v>35</v>
      </c>
      <c r="O40" s="4">
        <v>9</v>
      </c>
      <c r="P40" s="4">
        <v>9</v>
      </c>
      <c r="Q40" s="10">
        <f t="shared" si="1"/>
        <v>50</v>
      </c>
      <c r="R40" s="5">
        <v>7.1</v>
      </c>
      <c r="S40" s="2" t="s">
        <v>43</v>
      </c>
      <c r="T40" s="5">
        <v>2.1</v>
      </c>
      <c r="U40" s="5">
        <v>62.9</v>
      </c>
      <c r="V40" s="2" t="s">
        <v>53</v>
      </c>
      <c r="W40" s="4">
        <v>3</v>
      </c>
      <c r="X40" s="4">
        <v>4</v>
      </c>
      <c r="Y40" s="2" t="s">
        <v>33</v>
      </c>
      <c r="Z40" s="2" t="s">
        <v>79</v>
      </c>
    </row>
    <row r="41" spans="1:26" x14ac:dyDescent="0.25">
      <c r="A41" s="2" t="s">
        <v>153</v>
      </c>
      <c r="B41" s="2" t="s">
        <v>154</v>
      </c>
      <c r="C41" s="2" t="s">
        <v>155</v>
      </c>
      <c r="D41" s="2" t="s">
        <v>156</v>
      </c>
      <c r="E41" s="3" t="s">
        <v>349</v>
      </c>
      <c r="F41" s="4">
        <f t="shared" ca="1" si="0"/>
        <v>15</v>
      </c>
      <c r="G41" s="2" t="s">
        <v>28</v>
      </c>
      <c r="H41" s="2" t="s">
        <v>65</v>
      </c>
      <c r="I41" s="2" t="s">
        <v>66</v>
      </c>
      <c r="J41" s="2" t="s">
        <v>31</v>
      </c>
      <c r="K41" s="2" t="s">
        <v>67</v>
      </c>
      <c r="L41" s="4">
        <v>2</v>
      </c>
      <c r="M41" s="4">
        <v>2</v>
      </c>
      <c r="N41" s="4">
        <v>34</v>
      </c>
      <c r="O41" s="4">
        <v>8</v>
      </c>
      <c r="P41" s="4">
        <v>12</v>
      </c>
      <c r="Q41" s="10">
        <f t="shared" si="1"/>
        <v>40</v>
      </c>
      <c r="R41" s="5">
        <v>6.7</v>
      </c>
      <c r="S41" s="2" t="s">
        <v>55</v>
      </c>
      <c r="T41" s="5">
        <v>1.5</v>
      </c>
      <c r="U41" s="5">
        <v>77.7</v>
      </c>
      <c r="V41" s="2" t="s">
        <v>355</v>
      </c>
      <c r="W41" s="4">
        <v>5</v>
      </c>
      <c r="X41" s="4">
        <v>3</v>
      </c>
      <c r="Y41" s="2" t="s">
        <v>33</v>
      </c>
      <c r="Z41" s="2" t="s">
        <v>34</v>
      </c>
    </row>
    <row r="42" spans="1:26" x14ac:dyDescent="0.25">
      <c r="A42" s="2" t="s">
        <v>157</v>
      </c>
      <c r="B42" s="2" t="s">
        <v>158</v>
      </c>
      <c r="C42" s="2" t="s">
        <v>159</v>
      </c>
      <c r="D42" s="2" t="s">
        <v>160</v>
      </c>
      <c r="E42" s="3" t="s">
        <v>346</v>
      </c>
      <c r="F42" s="4">
        <f t="shared" ca="1" si="0"/>
        <v>5</v>
      </c>
      <c r="G42" s="2" t="s">
        <v>39</v>
      </c>
      <c r="H42" s="2" t="s">
        <v>29</v>
      </c>
      <c r="I42" s="2" t="s">
        <v>30</v>
      </c>
      <c r="J42" s="2" t="s">
        <v>31</v>
      </c>
      <c r="K42" s="2" t="s">
        <v>31</v>
      </c>
      <c r="L42" s="4">
        <v>1</v>
      </c>
      <c r="M42" s="4">
        <v>2</v>
      </c>
      <c r="N42" s="4">
        <v>45</v>
      </c>
      <c r="O42" s="4">
        <v>14</v>
      </c>
      <c r="P42" s="4">
        <v>6</v>
      </c>
      <c r="Q42" s="10">
        <f t="shared" si="1"/>
        <v>70</v>
      </c>
      <c r="R42" s="5">
        <v>7.8</v>
      </c>
      <c r="S42" s="2" t="s">
        <v>32</v>
      </c>
      <c r="T42" s="5">
        <v>1.3</v>
      </c>
      <c r="U42" s="5">
        <v>78.099999999999994</v>
      </c>
      <c r="V42" s="2" t="s">
        <v>354</v>
      </c>
      <c r="W42" s="4">
        <v>3</v>
      </c>
      <c r="X42" s="4">
        <v>5</v>
      </c>
      <c r="Y42" s="2" t="s">
        <v>33</v>
      </c>
      <c r="Z42" s="2" t="s">
        <v>34</v>
      </c>
    </row>
    <row r="43" spans="1:26" x14ac:dyDescent="0.25">
      <c r="A43" s="2" t="s">
        <v>157</v>
      </c>
      <c r="B43" s="2" t="s">
        <v>158</v>
      </c>
      <c r="C43" s="2" t="s">
        <v>159</v>
      </c>
      <c r="D43" s="2" t="s">
        <v>160</v>
      </c>
      <c r="E43" s="3" t="s">
        <v>350</v>
      </c>
      <c r="F43" s="4">
        <f t="shared" ca="1" si="0"/>
        <v>13</v>
      </c>
      <c r="G43" s="2" t="s">
        <v>39</v>
      </c>
      <c r="H43" s="2" t="s">
        <v>29</v>
      </c>
      <c r="I43" s="2" t="s">
        <v>30</v>
      </c>
      <c r="J43" s="2" t="s">
        <v>31</v>
      </c>
      <c r="K43" s="2" t="s">
        <v>31</v>
      </c>
      <c r="L43" s="4">
        <v>2</v>
      </c>
      <c r="M43" s="4">
        <v>2</v>
      </c>
      <c r="N43" s="4">
        <v>37</v>
      </c>
      <c r="O43" s="4">
        <v>14</v>
      </c>
      <c r="P43" s="4">
        <v>3</v>
      </c>
      <c r="Q43" s="10">
        <f t="shared" si="1"/>
        <v>82.35294117647058</v>
      </c>
      <c r="R43" s="5">
        <v>7.5</v>
      </c>
      <c r="S43" s="2" t="s">
        <v>43</v>
      </c>
      <c r="T43" s="5">
        <v>3.2</v>
      </c>
      <c r="U43" s="5">
        <v>46.5</v>
      </c>
      <c r="V43" s="2" t="s">
        <v>53</v>
      </c>
      <c r="W43" s="4">
        <v>4</v>
      </c>
      <c r="X43" s="4">
        <v>4</v>
      </c>
      <c r="Y43" s="2" t="s">
        <v>44</v>
      </c>
      <c r="Z43" s="2" t="s">
        <v>132</v>
      </c>
    </row>
    <row r="44" spans="1:26" x14ac:dyDescent="0.25">
      <c r="A44" s="2" t="s">
        <v>161</v>
      </c>
      <c r="B44" s="2" t="s">
        <v>162</v>
      </c>
      <c r="C44" s="2" t="s">
        <v>163</v>
      </c>
      <c r="D44" s="2" t="s">
        <v>164</v>
      </c>
      <c r="E44" s="3" t="s">
        <v>341</v>
      </c>
      <c r="F44" s="4">
        <f t="shared" ca="1" si="0"/>
        <v>14</v>
      </c>
      <c r="G44" s="2" t="s">
        <v>28</v>
      </c>
      <c r="H44" s="2" t="s">
        <v>49</v>
      </c>
      <c r="I44" s="2" t="s">
        <v>77</v>
      </c>
      <c r="J44" s="2" t="s">
        <v>51</v>
      </c>
      <c r="K44" s="2" t="s">
        <v>78</v>
      </c>
      <c r="L44" s="4">
        <v>1</v>
      </c>
      <c r="M44" s="4">
        <v>1</v>
      </c>
      <c r="N44" s="4">
        <v>32</v>
      </c>
      <c r="O44" s="4">
        <v>12</v>
      </c>
      <c r="P44" s="4">
        <v>6</v>
      </c>
      <c r="Q44" s="10">
        <f t="shared" si="1"/>
        <v>66.666666666666657</v>
      </c>
      <c r="R44" s="5">
        <v>6</v>
      </c>
      <c r="S44" s="2" t="s">
        <v>55</v>
      </c>
      <c r="T44" s="5">
        <v>2.2999999999999998</v>
      </c>
      <c r="U44" s="5">
        <v>75.099999999999994</v>
      </c>
      <c r="V44" s="2" t="s">
        <v>356</v>
      </c>
      <c r="W44" s="4">
        <v>4</v>
      </c>
      <c r="X44" s="4">
        <v>4</v>
      </c>
      <c r="Y44" s="2" t="s">
        <v>44</v>
      </c>
      <c r="Z44" s="2" t="s">
        <v>132</v>
      </c>
    </row>
    <row r="45" spans="1:26" x14ac:dyDescent="0.25">
      <c r="A45" s="2" t="s">
        <v>165</v>
      </c>
      <c r="B45" s="2" t="s">
        <v>166</v>
      </c>
      <c r="C45" s="2" t="s">
        <v>167</v>
      </c>
      <c r="D45" s="2" t="s">
        <v>168</v>
      </c>
      <c r="E45" s="3" t="s">
        <v>335</v>
      </c>
      <c r="F45" s="4">
        <f t="shared" ca="1" si="0"/>
        <v>4</v>
      </c>
      <c r="G45" s="2" t="s">
        <v>39</v>
      </c>
      <c r="H45" s="2" t="s">
        <v>40</v>
      </c>
      <c r="I45" s="2" t="s">
        <v>30</v>
      </c>
      <c r="J45" s="2" t="s">
        <v>31</v>
      </c>
      <c r="K45" s="2" t="s">
        <v>31</v>
      </c>
      <c r="L45" s="4">
        <v>1</v>
      </c>
      <c r="M45" s="4">
        <v>1</v>
      </c>
      <c r="N45" s="4">
        <v>39</v>
      </c>
      <c r="O45" s="4">
        <v>11</v>
      </c>
      <c r="P45" s="4">
        <v>7</v>
      </c>
      <c r="Q45" s="10">
        <f t="shared" si="1"/>
        <v>61.111111111111114</v>
      </c>
      <c r="R45" s="5">
        <v>6.1</v>
      </c>
      <c r="S45" s="2" t="s">
        <v>43</v>
      </c>
      <c r="T45" s="5">
        <v>1.4</v>
      </c>
      <c r="U45" s="5">
        <v>47.6</v>
      </c>
      <c r="V45" s="2" t="s">
        <v>357</v>
      </c>
      <c r="W45" s="4">
        <v>4</v>
      </c>
      <c r="X45" s="4">
        <v>3</v>
      </c>
      <c r="Y45" s="2" t="s">
        <v>44</v>
      </c>
      <c r="Z45" s="2"/>
    </row>
    <row r="46" spans="1:26" x14ac:dyDescent="0.25">
      <c r="A46" s="2" t="s">
        <v>169</v>
      </c>
      <c r="B46" s="2" t="s">
        <v>170</v>
      </c>
      <c r="C46" s="2" t="s">
        <v>171</v>
      </c>
      <c r="D46" s="2" t="s">
        <v>172</v>
      </c>
      <c r="E46" s="3" t="s">
        <v>342</v>
      </c>
      <c r="F46" s="4">
        <f t="shared" ca="1" si="0"/>
        <v>2</v>
      </c>
      <c r="G46" s="2" t="s">
        <v>28</v>
      </c>
      <c r="H46" s="2" t="s">
        <v>29</v>
      </c>
      <c r="I46" s="2" t="s">
        <v>89</v>
      </c>
      <c r="J46" s="2" t="s">
        <v>31</v>
      </c>
      <c r="K46" s="2" t="s">
        <v>90</v>
      </c>
      <c r="L46" s="4">
        <v>1</v>
      </c>
      <c r="M46" s="4">
        <v>2</v>
      </c>
      <c r="N46" s="4">
        <v>40</v>
      </c>
      <c r="O46" s="4">
        <v>16</v>
      </c>
      <c r="P46" s="4">
        <v>2</v>
      </c>
      <c r="Q46" s="10">
        <f t="shared" si="1"/>
        <v>88.888888888888886</v>
      </c>
      <c r="R46" s="5">
        <v>5.0999999999999996</v>
      </c>
      <c r="S46" s="2" t="s">
        <v>32</v>
      </c>
      <c r="T46" s="5">
        <v>3.3</v>
      </c>
      <c r="U46" s="5">
        <v>83.1</v>
      </c>
      <c r="V46" s="2" t="s">
        <v>53</v>
      </c>
      <c r="W46" s="4">
        <v>4</v>
      </c>
      <c r="X46" s="4">
        <v>3</v>
      </c>
      <c r="Y46" s="2" t="s">
        <v>44</v>
      </c>
      <c r="Z46" s="2" t="s">
        <v>52</v>
      </c>
    </row>
    <row r="47" spans="1:26" x14ac:dyDescent="0.25">
      <c r="A47" s="2" t="s">
        <v>169</v>
      </c>
      <c r="B47" s="2" t="s">
        <v>170</v>
      </c>
      <c r="C47" s="2" t="s">
        <v>171</v>
      </c>
      <c r="D47" s="2" t="s">
        <v>172</v>
      </c>
      <c r="E47" s="3" t="s">
        <v>350</v>
      </c>
      <c r="F47" s="4">
        <f t="shared" ca="1" si="0"/>
        <v>3</v>
      </c>
      <c r="G47" s="2" t="s">
        <v>28</v>
      </c>
      <c r="H47" s="2" t="s">
        <v>29</v>
      </c>
      <c r="I47" s="2" t="s">
        <v>89</v>
      </c>
      <c r="J47" s="2" t="s">
        <v>31</v>
      </c>
      <c r="K47" s="2" t="s">
        <v>90</v>
      </c>
      <c r="L47" s="4">
        <v>2</v>
      </c>
      <c r="M47" s="4">
        <v>2</v>
      </c>
      <c r="N47" s="4">
        <v>32</v>
      </c>
      <c r="O47" s="4">
        <v>12</v>
      </c>
      <c r="P47" s="4">
        <v>3</v>
      </c>
      <c r="Q47" s="10">
        <f t="shared" si="1"/>
        <v>80</v>
      </c>
      <c r="R47" s="5">
        <v>7.5</v>
      </c>
      <c r="S47" s="2" t="s">
        <v>32</v>
      </c>
      <c r="T47" s="5">
        <v>1.5</v>
      </c>
      <c r="U47" s="5">
        <v>52.9</v>
      </c>
      <c r="V47" s="2" t="s">
        <v>357</v>
      </c>
      <c r="W47" s="4">
        <v>5</v>
      </c>
      <c r="X47" s="4">
        <v>3</v>
      </c>
      <c r="Y47" s="2" t="s">
        <v>44</v>
      </c>
      <c r="Z47" s="2" t="s">
        <v>124</v>
      </c>
    </row>
    <row r="48" spans="1:26" x14ac:dyDescent="0.25">
      <c r="A48" s="2" t="s">
        <v>173</v>
      </c>
      <c r="B48" s="2" t="s">
        <v>174</v>
      </c>
      <c r="C48" s="2" t="s">
        <v>175</v>
      </c>
      <c r="D48" s="2" t="s">
        <v>176</v>
      </c>
      <c r="E48" s="3" t="s">
        <v>339</v>
      </c>
      <c r="F48" s="4">
        <f t="shared" ca="1" si="0"/>
        <v>3</v>
      </c>
      <c r="G48" s="2" t="s">
        <v>39</v>
      </c>
      <c r="H48" s="2" t="s">
        <v>49</v>
      </c>
      <c r="I48" s="2" t="s">
        <v>41</v>
      </c>
      <c r="J48" s="2" t="s">
        <v>31</v>
      </c>
      <c r="K48" s="2" t="s">
        <v>42</v>
      </c>
      <c r="L48" s="4">
        <v>1</v>
      </c>
      <c r="M48" s="4">
        <v>1</v>
      </c>
      <c r="N48" s="4">
        <v>39</v>
      </c>
      <c r="O48" s="4">
        <v>10</v>
      </c>
      <c r="P48" s="4">
        <v>9</v>
      </c>
      <c r="Q48" s="10">
        <f t="shared" si="1"/>
        <v>52.631578947368418</v>
      </c>
      <c r="R48" s="5">
        <v>7.6</v>
      </c>
      <c r="S48" s="2" t="s">
        <v>43</v>
      </c>
      <c r="T48" s="5">
        <v>3</v>
      </c>
      <c r="U48" s="5">
        <v>75.5</v>
      </c>
      <c r="V48" s="2" t="s">
        <v>356</v>
      </c>
      <c r="W48" s="4">
        <v>3</v>
      </c>
      <c r="X48" s="4">
        <v>5</v>
      </c>
      <c r="Y48" s="2" t="s">
        <v>33</v>
      </c>
      <c r="Z48" s="2" t="s">
        <v>72</v>
      </c>
    </row>
    <row r="49" spans="1:26" x14ac:dyDescent="0.25">
      <c r="A49" s="2" t="s">
        <v>177</v>
      </c>
      <c r="B49" s="2" t="s">
        <v>178</v>
      </c>
      <c r="C49" s="2" t="s">
        <v>179</v>
      </c>
      <c r="D49" s="2" t="s">
        <v>180</v>
      </c>
      <c r="E49" s="3" t="s">
        <v>348</v>
      </c>
      <c r="F49" s="4">
        <f t="shared" ca="1" si="0"/>
        <v>10</v>
      </c>
      <c r="G49" s="2" t="s">
        <v>28</v>
      </c>
      <c r="H49" s="2" t="s">
        <v>65</v>
      </c>
      <c r="I49" s="2" t="s">
        <v>30</v>
      </c>
      <c r="J49" s="2" t="s">
        <v>31</v>
      </c>
      <c r="K49" s="2" t="s">
        <v>31</v>
      </c>
      <c r="L49" s="4">
        <v>1</v>
      </c>
      <c r="M49" s="4">
        <v>1</v>
      </c>
      <c r="N49" s="4">
        <v>30</v>
      </c>
      <c r="O49" s="4">
        <v>11</v>
      </c>
      <c r="P49" s="4">
        <v>8</v>
      </c>
      <c r="Q49" s="10">
        <f t="shared" si="1"/>
        <v>57.894736842105267</v>
      </c>
      <c r="R49" s="5">
        <v>6.3</v>
      </c>
      <c r="S49" s="2" t="s">
        <v>55</v>
      </c>
      <c r="T49" s="5">
        <v>3.1</v>
      </c>
      <c r="U49" s="5">
        <v>70</v>
      </c>
      <c r="V49" s="2" t="s">
        <v>355</v>
      </c>
      <c r="W49" s="4">
        <v>3</v>
      </c>
      <c r="X49" s="4">
        <v>3</v>
      </c>
      <c r="Y49" s="2" t="s">
        <v>33</v>
      </c>
      <c r="Z49" s="2" t="s">
        <v>109</v>
      </c>
    </row>
    <row r="50" spans="1:26" x14ac:dyDescent="0.25">
      <c r="A50" s="2" t="s">
        <v>181</v>
      </c>
      <c r="B50" s="2" t="s">
        <v>182</v>
      </c>
      <c r="C50" s="2" t="s">
        <v>183</v>
      </c>
      <c r="D50" s="2" t="s">
        <v>184</v>
      </c>
      <c r="E50" s="3" t="s">
        <v>336</v>
      </c>
      <c r="F50" s="4">
        <f t="shared" ca="1" si="0"/>
        <v>5</v>
      </c>
      <c r="G50" s="2" t="s">
        <v>39</v>
      </c>
      <c r="H50" s="2" t="s">
        <v>40</v>
      </c>
      <c r="I50" s="2" t="s">
        <v>99</v>
      </c>
      <c r="J50" s="2" t="s">
        <v>31</v>
      </c>
      <c r="K50" s="2" t="s">
        <v>100</v>
      </c>
      <c r="L50" s="4">
        <v>1</v>
      </c>
      <c r="M50" s="4">
        <v>2</v>
      </c>
      <c r="N50" s="4">
        <v>35</v>
      </c>
      <c r="O50" s="4">
        <v>12</v>
      </c>
      <c r="P50" s="4">
        <v>4</v>
      </c>
      <c r="Q50" s="10">
        <f t="shared" si="1"/>
        <v>75</v>
      </c>
      <c r="R50" s="5">
        <v>6.7</v>
      </c>
      <c r="S50" s="2" t="s">
        <v>43</v>
      </c>
      <c r="T50" s="5">
        <v>1.6</v>
      </c>
      <c r="U50" s="5">
        <v>69.2</v>
      </c>
      <c r="V50" s="2" t="s">
        <v>356</v>
      </c>
      <c r="W50" s="4">
        <v>3</v>
      </c>
      <c r="X50" s="4">
        <v>5</v>
      </c>
      <c r="Y50" s="2" t="s">
        <v>44</v>
      </c>
      <c r="Z50" s="2" t="s">
        <v>72</v>
      </c>
    </row>
    <row r="51" spans="1:26" x14ac:dyDescent="0.25">
      <c r="A51" s="2" t="s">
        <v>181</v>
      </c>
      <c r="B51" s="2" t="s">
        <v>182</v>
      </c>
      <c r="C51" s="2" t="s">
        <v>183</v>
      </c>
      <c r="D51" s="2" t="s">
        <v>184</v>
      </c>
      <c r="E51" s="3" t="s">
        <v>344</v>
      </c>
      <c r="F51" s="4">
        <f t="shared" ca="1" si="0"/>
        <v>7</v>
      </c>
      <c r="G51" s="2" t="s">
        <v>39</v>
      </c>
      <c r="H51" s="2" t="s">
        <v>40</v>
      </c>
      <c r="I51" s="2" t="s">
        <v>99</v>
      </c>
      <c r="J51" s="2" t="s">
        <v>31</v>
      </c>
      <c r="K51" s="2" t="s">
        <v>100</v>
      </c>
      <c r="L51" s="4">
        <v>2</v>
      </c>
      <c r="M51" s="4">
        <v>2</v>
      </c>
      <c r="N51" s="4">
        <v>26</v>
      </c>
      <c r="O51" s="4">
        <v>13</v>
      </c>
      <c r="P51" s="4">
        <v>3</v>
      </c>
      <c r="Q51" s="10">
        <f t="shared" si="1"/>
        <v>81.25</v>
      </c>
      <c r="R51" s="5">
        <v>4.0999999999999996</v>
      </c>
      <c r="S51" s="2" t="s">
        <v>43</v>
      </c>
      <c r="T51" s="5">
        <v>1.9</v>
      </c>
      <c r="U51" s="5">
        <v>44.6</v>
      </c>
      <c r="V51" s="2" t="s">
        <v>53</v>
      </c>
      <c r="W51" s="4">
        <v>3</v>
      </c>
      <c r="X51" s="4">
        <v>4</v>
      </c>
      <c r="Y51" s="2" t="s">
        <v>44</v>
      </c>
      <c r="Z51" s="2"/>
    </row>
    <row r="52" spans="1:26" x14ac:dyDescent="0.25">
      <c r="A52" s="2" t="s">
        <v>185</v>
      </c>
      <c r="B52" s="2" t="s">
        <v>186</v>
      </c>
      <c r="C52" s="2" t="s">
        <v>187</v>
      </c>
      <c r="D52" s="2" t="s">
        <v>188</v>
      </c>
      <c r="E52" s="3" t="s">
        <v>350</v>
      </c>
      <c r="F52" s="4">
        <f t="shared" ca="1" si="0"/>
        <v>2</v>
      </c>
      <c r="G52" s="2" t="s">
        <v>28</v>
      </c>
      <c r="H52" s="2" t="s">
        <v>29</v>
      </c>
      <c r="I52" s="2" t="s">
        <v>50</v>
      </c>
      <c r="J52" s="2" t="s">
        <v>31</v>
      </c>
      <c r="K52" s="2" t="s">
        <v>51</v>
      </c>
      <c r="L52" s="4">
        <v>1</v>
      </c>
      <c r="M52" s="4">
        <v>1</v>
      </c>
      <c r="N52" s="4">
        <v>40</v>
      </c>
      <c r="O52" s="4">
        <v>16</v>
      </c>
      <c r="P52" s="4">
        <v>5</v>
      </c>
      <c r="Q52" s="10">
        <f t="shared" si="1"/>
        <v>76.19047619047619</v>
      </c>
      <c r="R52" s="5">
        <v>5.4</v>
      </c>
      <c r="S52" s="2" t="s">
        <v>32</v>
      </c>
      <c r="T52" s="5">
        <v>2.2000000000000002</v>
      </c>
      <c r="U52" s="5">
        <v>82.4</v>
      </c>
      <c r="V52" s="2" t="s">
        <v>357</v>
      </c>
      <c r="W52" s="4">
        <v>5</v>
      </c>
      <c r="X52" s="4">
        <v>3</v>
      </c>
      <c r="Y52" s="2" t="s">
        <v>44</v>
      </c>
      <c r="Z52" s="2" t="s">
        <v>56</v>
      </c>
    </row>
    <row r="53" spans="1:26" x14ac:dyDescent="0.25">
      <c r="A53" s="2" t="s">
        <v>189</v>
      </c>
      <c r="B53" s="2" t="s">
        <v>190</v>
      </c>
      <c r="C53" s="2" t="s">
        <v>191</v>
      </c>
      <c r="D53" s="2" t="s">
        <v>192</v>
      </c>
      <c r="E53" s="3" t="s">
        <v>349</v>
      </c>
      <c r="F53" s="4">
        <f t="shared" ca="1" si="0"/>
        <v>16</v>
      </c>
      <c r="G53" s="2" t="s">
        <v>39</v>
      </c>
      <c r="H53" s="2" t="s">
        <v>49</v>
      </c>
      <c r="I53" s="2" t="s">
        <v>30</v>
      </c>
      <c r="J53" s="2" t="s">
        <v>31</v>
      </c>
      <c r="K53" s="2" t="s">
        <v>31</v>
      </c>
      <c r="L53" s="4">
        <v>1</v>
      </c>
      <c r="M53" s="4">
        <v>2</v>
      </c>
      <c r="N53" s="4">
        <v>26</v>
      </c>
      <c r="O53" s="4">
        <v>13</v>
      </c>
      <c r="P53" s="4">
        <v>10</v>
      </c>
      <c r="Q53" s="10">
        <f t="shared" si="1"/>
        <v>56.521739130434781</v>
      </c>
      <c r="R53" s="5">
        <v>4.7</v>
      </c>
      <c r="S53" s="2" t="s">
        <v>43</v>
      </c>
      <c r="T53" s="5">
        <v>1.4</v>
      </c>
      <c r="U53" s="5">
        <v>58.9</v>
      </c>
      <c r="V53" s="2" t="s">
        <v>354</v>
      </c>
      <c r="W53" s="4">
        <v>5</v>
      </c>
      <c r="X53" s="4">
        <v>3</v>
      </c>
      <c r="Y53" s="2" t="s">
        <v>44</v>
      </c>
      <c r="Z53" s="2"/>
    </row>
    <row r="54" spans="1:26" x14ac:dyDescent="0.25">
      <c r="A54" s="2" t="s">
        <v>189</v>
      </c>
      <c r="B54" s="2" t="s">
        <v>190</v>
      </c>
      <c r="C54" s="2" t="s">
        <v>191</v>
      </c>
      <c r="D54" s="2" t="s">
        <v>192</v>
      </c>
      <c r="E54" s="3" t="s">
        <v>335</v>
      </c>
      <c r="F54" s="4">
        <f t="shared" ca="1" si="0"/>
        <v>18</v>
      </c>
      <c r="G54" s="2" t="s">
        <v>39</v>
      </c>
      <c r="H54" s="2" t="s">
        <v>49</v>
      </c>
      <c r="I54" s="2" t="s">
        <v>30</v>
      </c>
      <c r="J54" s="2" t="s">
        <v>31</v>
      </c>
      <c r="K54" s="2" t="s">
        <v>31</v>
      </c>
      <c r="L54" s="4">
        <v>2</v>
      </c>
      <c r="M54" s="4">
        <v>2</v>
      </c>
      <c r="N54" s="4">
        <v>29</v>
      </c>
      <c r="O54" s="4">
        <v>12</v>
      </c>
      <c r="P54" s="4">
        <v>4</v>
      </c>
      <c r="Q54" s="10">
        <f t="shared" si="1"/>
        <v>75</v>
      </c>
      <c r="R54" s="5">
        <v>5.9</v>
      </c>
      <c r="S54" s="2" t="s">
        <v>43</v>
      </c>
      <c r="T54" s="5">
        <v>3.1</v>
      </c>
      <c r="U54" s="5">
        <v>48.8</v>
      </c>
      <c r="V54" s="2" t="s">
        <v>355</v>
      </c>
      <c r="W54" s="4">
        <v>3</v>
      </c>
      <c r="X54" s="4">
        <v>4</v>
      </c>
      <c r="Y54" s="2" t="s">
        <v>33</v>
      </c>
      <c r="Z54" s="2" t="s">
        <v>72</v>
      </c>
    </row>
    <row r="55" spans="1:26" x14ac:dyDescent="0.25">
      <c r="A55" s="2" t="s">
        <v>193</v>
      </c>
      <c r="B55" s="2" t="s">
        <v>194</v>
      </c>
      <c r="C55" s="2" t="s">
        <v>195</v>
      </c>
      <c r="D55" s="2" t="s">
        <v>196</v>
      </c>
      <c r="E55" s="3" t="s">
        <v>339</v>
      </c>
      <c r="F55" s="4">
        <f t="shared" ca="1" si="0"/>
        <v>3</v>
      </c>
      <c r="G55" s="2" t="s">
        <v>28</v>
      </c>
      <c r="H55" s="2" t="s">
        <v>29</v>
      </c>
      <c r="I55" s="2" t="s">
        <v>129</v>
      </c>
      <c r="J55" s="2" t="s">
        <v>130</v>
      </c>
      <c r="K55" s="2" t="s">
        <v>131</v>
      </c>
      <c r="L55" s="4">
        <v>1</v>
      </c>
      <c r="M55" s="4">
        <v>1</v>
      </c>
      <c r="N55" s="4">
        <v>38</v>
      </c>
      <c r="O55" s="4">
        <v>13</v>
      </c>
      <c r="P55" s="4">
        <v>3</v>
      </c>
      <c r="Q55" s="10">
        <f t="shared" si="1"/>
        <v>81.25</v>
      </c>
      <c r="R55" s="5">
        <v>8.1</v>
      </c>
      <c r="S55" s="2" t="s">
        <v>32</v>
      </c>
      <c r="T55" s="5">
        <v>1.3</v>
      </c>
      <c r="U55" s="5">
        <v>74.7</v>
      </c>
      <c r="V55" s="2" t="s">
        <v>354</v>
      </c>
      <c r="W55" s="4">
        <v>4</v>
      </c>
      <c r="X55" s="4">
        <v>3</v>
      </c>
      <c r="Y55" s="2" t="s">
        <v>44</v>
      </c>
      <c r="Z55" s="2" t="s">
        <v>56</v>
      </c>
    </row>
    <row r="56" spans="1:26" x14ac:dyDescent="0.25">
      <c r="A56" s="2" t="s">
        <v>197</v>
      </c>
      <c r="B56" s="2" t="s">
        <v>198</v>
      </c>
      <c r="C56" s="2" t="s">
        <v>199</v>
      </c>
      <c r="D56" s="2" t="s">
        <v>200</v>
      </c>
      <c r="E56" s="3" t="s">
        <v>345</v>
      </c>
      <c r="F56" s="4">
        <f t="shared" ca="1" si="0"/>
        <v>8</v>
      </c>
      <c r="G56" s="2" t="s">
        <v>39</v>
      </c>
      <c r="H56" s="2" t="s">
        <v>40</v>
      </c>
      <c r="I56" s="2" t="s">
        <v>30</v>
      </c>
      <c r="J56" s="2" t="s">
        <v>31</v>
      </c>
      <c r="K56" s="2" t="s">
        <v>31</v>
      </c>
      <c r="L56" s="4">
        <v>1</v>
      </c>
      <c r="M56" s="4">
        <v>2</v>
      </c>
      <c r="N56" s="4">
        <v>44</v>
      </c>
      <c r="O56" s="4">
        <v>14</v>
      </c>
      <c r="P56" s="4">
        <v>8</v>
      </c>
      <c r="Q56" s="10">
        <f t="shared" si="1"/>
        <v>63.636363636363633</v>
      </c>
      <c r="R56" s="5">
        <v>6.2</v>
      </c>
      <c r="S56" s="2" t="s">
        <v>43</v>
      </c>
      <c r="T56" s="5">
        <v>1.3</v>
      </c>
      <c r="U56" s="5">
        <v>46.7</v>
      </c>
      <c r="V56" s="2" t="s">
        <v>354</v>
      </c>
      <c r="W56" s="4">
        <v>5</v>
      </c>
      <c r="X56" s="4">
        <v>5</v>
      </c>
      <c r="Y56" s="2" t="s">
        <v>44</v>
      </c>
      <c r="Z56" s="2" t="s">
        <v>109</v>
      </c>
    </row>
    <row r="57" spans="1:26" x14ac:dyDescent="0.25">
      <c r="A57" s="2" t="s">
        <v>197</v>
      </c>
      <c r="B57" s="2" t="s">
        <v>198</v>
      </c>
      <c r="C57" s="2" t="s">
        <v>199</v>
      </c>
      <c r="D57" s="2" t="s">
        <v>200</v>
      </c>
      <c r="E57" s="3" t="s">
        <v>342</v>
      </c>
      <c r="F57" s="4">
        <f t="shared" ca="1" si="0"/>
        <v>3</v>
      </c>
      <c r="G57" s="2" t="s">
        <v>39</v>
      </c>
      <c r="H57" s="2" t="s">
        <v>40</v>
      </c>
      <c r="I57" s="2" t="s">
        <v>30</v>
      </c>
      <c r="J57" s="2" t="s">
        <v>31</v>
      </c>
      <c r="K57" s="2" t="s">
        <v>31</v>
      </c>
      <c r="L57" s="4">
        <v>2</v>
      </c>
      <c r="M57" s="4">
        <v>2</v>
      </c>
      <c r="N57" s="4">
        <v>25</v>
      </c>
      <c r="O57" s="4">
        <v>10</v>
      </c>
      <c r="P57" s="4">
        <v>4</v>
      </c>
      <c r="Q57" s="10">
        <f t="shared" si="1"/>
        <v>71.428571428571431</v>
      </c>
      <c r="R57" s="5">
        <v>5.6</v>
      </c>
      <c r="S57" s="2" t="s">
        <v>43</v>
      </c>
      <c r="T57" s="5">
        <v>2.7</v>
      </c>
      <c r="U57" s="5">
        <v>52.8</v>
      </c>
      <c r="V57" s="2" t="s">
        <v>355</v>
      </c>
      <c r="W57" s="4">
        <v>4</v>
      </c>
      <c r="X57" s="4">
        <v>4</v>
      </c>
      <c r="Y57" s="2" t="s">
        <v>33</v>
      </c>
      <c r="Z57" s="2" t="s">
        <v>132</v>
      </c>
    </row>
    <row r="58" spans="1:26" x14ac:dyDescent="0.25">
      <c r="A58" s="2" t="s">
        <v>201</v>
      </c>
      <c r="B58" s="2" t="s">
        <v>202</v>
      </c>
      <c r="C58" s="2" t="s">
        <v>203</v>
      </c>
      <c r="D58" s="2" t="s">
        <v>204</v>
      </c>
      <c r="E58" s="3" t="s">
        <v>340</v>
      </c>
      <c r="F58" s="4">
        <f t="shared" ca="1" si="0"/>
        <v>18</v>
      </c>
      <c r="G58" s="2" t="s">
        <v>28</v>
      </c>
      <c r="H58" s="2" t="s">
        <v>65</v>
      </c>
      <c r="I58" s="2" t="s">
        <v>66</v>
      </c>
      <c r="J58" s="2" t="s">
        <v>31</v>
      </c>
      <c r="K58" s="2" t="s">
        <v>67</v>
      </c>
      <c r="L58" s="4">
        <v>1</v>
      </c>
      <c r="M58" s="4">
        <v>1</v>
      </c>
      <c r="N58" s="4">
        <v>39</v>
      </c>
      <c r="O58" s="4">
        <v>7</v>
      </c>
      <c r="P58" s="4">
        <v>13</v>
      </c>
      <c r="Q58" s="10">
        <f t="shared" si="1"/>
        <v>35</v>
      </c>
      <c r="R58" s="5">
        <v>6.3</v>
      </c>
      <c r="S58" s="2" t="s">
        <v>55</v>
      </c>
      <c r="T58" s="5">
        <v>3.3</v>
      </c>
      <c r="U58" s="5">
        <v>64.400000000000006</v>
      </c>
      <c r="V58" s="2" t="s">
        <v>357</v>
      </c>
      <c r="W58" s="4">
        <v>4</v>
      </c>
      <c r="X58" s="4">
        <v>5</v>
      </c>
      <c r="Y58" s="2" t="s">
        <v>44</v>
      </c>
      <c r="Z58" s="2" t="s">
        <v>34</v>
      </c>
    </row>
    <row r="59" spans="1:26" x14ac:dyDescent="0.25">
      <c r="A59" s="2" t="s">
        <v>205</v>
      </c>
      <c r="B59" s="2" t="s">
        <v>206</v>
      </c>
      <c r="C59" s="2" t="s">
        <v>207</v>
      </c>
      <c r="D59" s="2" t="s">
        <v>208</v>
      </c>
      <c r="E59" s="3" t="s">
        <v>342</v>
      </c>
      <c r="F59" s="4">
        <f t="shared" ca="1" si="0"/>
        <v>10</v>
      </c>
      <c r="G59" s="2" t="s">
        <v>39</v>
      </c>
      <c r="H59" s="2" t="s">
        <v>29</v>
      </c>
      <c r="I59" s="2" t="s">
        <v>41</v>
      </c>
      <c r="J59" s="2" t="s">
        <v>31</v>
      </c>
      <c r="K59" s="2" t="s">
        <v>42</v>
      </c>
      <c r="L59" s="4">
        <v>1</v>
      </c>
      <c r="M59" s="4">
        <v>1</v>
      </c>
      <c r="N59" s="4">
        <v>41</v>
      </c>
      <c r="O59" s="4">
        <v>18</v>
      </c>
      <c r="P59" s="4">
        <v>2</v>
      </c>
      <c r="Q59" s="10">
        <f t="shared" si="1"/>
        <v>90</v>
      </c>
      <c r="R59" s="5">
        <v>4.9000000000000004</v>
      </c>
      <c r="S59" s="2" t="s">
        <v>32</v>
      </c>
      <c r="T59" s="5">
        <v>1.6</v>
      </c>
      <c r="U59" s="5">
        <v>60.6</v>
      </c>
      <c r="V59" s="2" t="s">
        <v>354</v>
      </c>
      <c r="W59" s="4">
        <v>3</v>
      </c>
      <c r="X59" s="4">
        <v>5</v>
      </c>
      <c r="Y59" s="2" t="s">
        <v>44</v>
      </c>
      <c r="Z59" s="2" t="s">
        <v>34</v>
      </c>
    </row>
    <row r="60" spans="1:26" x14ac:dyDescent="0.25">
      <c r="A60" s="2" t="s">
        <v>209</v>
      </c>
      <c r="B60" s="2" t="s">
        <v>210</v>
      </c>
      <c r="C60" s="2" t="s">
        <v>211</v>
      </c>
      <c r="D60" s="2" t="s">
        <v>212</v>
      </c>
      <c r="E60" s="3" t="s">
        <v>339</v>
      </c>
      <c r="F60" s="4">
        <f t="shared" ca="1" si="0"/>
        <v>15</v>
      </c>
      <c r="G60" s="2" t="s">
        <v>28</v>
      </c>
      <c r="H60" s="2" t="s">
        <v>49</v>
      </c>
      <c r="I60" s="2" t="s">
        <v>30</v>
      </c>
      <c r="J60" s="2" t="s">
        <v>31</v>
      </c>
      <c r="K60" s="2" t="s">
        <v>31</v>
      </c>
      <c r="L60" s="4">
        <v>1</v>
      </c>
      <c r="M60" s="4">
        <v>1</v>
      </c>
      <c r="N60" s="4">
        <v>36</v>
      </c>
      <c r="O60" s="4">
        <v>12</v>
      </c>
      <c r="P60" s="4">
        <v>5</v>
      </c>
      <c r="Q60" s="10">
        <f t="shared" si="1"/>
        <v>70.588235294117652</v>
      </c>
      <c r="R60" s="5">
        <v>7.9</v>
      </c>
      <c r="S60" s="2" t="s">
        <v>43</v>
      </c>
      <c r="T60" s="5">
        <v>1.2</v>
      </c>
      <c r="U60" s="5">
        <v>83.7</v>
      </c>
      <c r="V60" s="2" t="s">
        <v>357</v>
      </c>
      <c r="W60" s="4">
        <v>4</v>
      </c>
      <c r="X60" s="4">
        <v>4</v>
      </c>
      <c r="Y60" s="2" t="s">
        <v>44</v>
      </c>
      <c r="Z60" s="2" t="s">
        <v>34</v>
      </c>
    </row>
    <row r="61" spans="1:26" x14ac:dyDescent="0.25">
      <c r="A61" s="2" t="s">
        <v>213</v>
      </c>
      <c r="B61" s="2" t="s">
        <v>214</v>
      </c>
      <c r="C61" s="2" t="s">
        <v>215</v>
      </c>
      <c r="D61" s="2" t="s">
        <v>216</v>
      </c>
      <c r="E61" s="3" t="s">
        <v>347</v>
      </c>
      <c r="F61" s="4">
        <f t="shared" ca="1" si="0"/>
        <v>1</v>
      </c>
      <c r="G61" s="2" t="s">
        <v>39</v>
      </c>
      <c r="H61" s="2" t="s">
        <v>40</v>
      </c>
      <c r="I61" s="2" t="s">
        <v>77</v>
      </c>
      <c r="J61" s="2" t="s">
        <v>51</v>
      </c>
      <c r="K61" s="2" t="s">
        <v>78</v>
      </c>
      <c r="L61" s="4">
        <v>1</v>
      </c>
      <c r="M61" s="4">
        <v>2</v>
      </c>
      <c r="N61" s="4">
        <v>35</v>
      </c>
      <c r="O61" s="4">
        <v>10</v>
      </c>
      <c r="P61" s="4">
        <v>3</v>
      </c>
      <c r="Q61" s="10">
        <f t="shared" si="1"/>
        <v>76.923076923076934</v>
      </c>
      <c r="R61" s="5">
        <v>6.6</v>
      </c>
      <c r="S61" s="2" t="s">
        <v>43</v>
      </c>
      <c r="T61" s="5">
        <v>1.8</v>
      </c>
      <c r="U61" s="5">
        <v>82.7</v>
      </c>
      <c r="V61" s="2" t="s">
        <v>354</v>
      </c>
      <c r="W61" s="4">
        <v>3</v>
      </c>
      <c r="X61" s="4">
        <v>3</v>
      </c>
      <c r="Y61" s="2" t="s">
        <v>44</v>
      </c>
      <c r="Z61" s="2" t="s">
        <v>109</v>
      </c>
    </row>
    <row r="62" spans="1:26" x14ac:dyDescent="0.25">
      <c r="A62" s="2" t="s">
        <v>213</v>
      </c>
      <c r="B62" s="2" t="s">
        <v>214</v>
      </c>
      <c r="C62" s="2" t="s">
        <v>215</v>
      </c>
      <c r="D62" s="2" t="s">
        <v>216</v>
      </c>
      <c r="E62" s="3" t="s">
        <v>346</v>
      </c>
      <c r="F62" s="4">
        <f t="shared" ca="1" si="0"/>
        <v>7</v>
      </c>
      <c r="G62" s="2" t="s">
        <v>39</v>
      </c>
      <c r="H62" s="2" t="s">
        <v>40</v>
      </c>
      <c r="I62" s="2" t="s">
        <v>77</v>
      </c>
      <c r="J62" s="2" t="s">
        <v>51</v>
      </c>
      <c r="K62" s="2" t="s">
        <v>78</v>
      </c>
      <c r="L62" s="4">
        <v>2</v>
      </c>
      <c r="M62" s="4">
        <v>2</v>
      </c>
      <c r="N62" s="4">
        <v>39</v>
      </c>
      <c r="O62" s="4">
        <v>11</v>
      </c>
      <c r="P62" s="4">
        <v>4</v>
      </c>
      <c r="Q62" s="10">
        <f t="shared" si="1"/>
        <v>73.333333333333329</v>
      </c>
      <c r="R62" s="5">
        <v>4.0999999999999996</v>
      </c>
      <c r="S62" s="2" t="s">
        <v>43</v>
      </c>
      <c r="T62" s="5">
        <v>1.3</v>
      </c>
      <c r="U62" s="5">
        <v>80.400000000000006</v>
      </c>
      <c r="V62" s="2" t="s">
        <v>53</v>
      </c>
      <c r="W62" s="4">
        <v>4</v>
      </c>
      <c r="X62" s="4">
        <v>5</v>
      </c>
      <c r="Y62" s="2" t="s">
        <v>44</v>
      </c>
      <c r="Z62" s="2" t="s">
        <v>56</v>
      </c>
    </row>
    <row r="63" spans="1:26" x14ac:dyDescent="0.25">
      <c r="A63" s="2" t="s">
        <v>217</v>
      </c>
      <c r="B63" s="2" t="s">
        <v>218</v>
      </c>
      <c r="C63" s="2" t="s">
        <v>219</v>
      </c>
      <c r="D63" s="2" t="s">
        <v>220</v>
      </c>
      <c r="E63" s="3" t="s">
        <v>335</v>
      </c>
      <c r="F63" s="4">
        <f t="shared" ca="1" si="0"/>
        <v>13</v>
      </c>
      <c r="G63" s="2" t="s">
        <v>28</v>
      </c>
      <c r="H63" s="2" t="s">
        <v>29</v>
      </c>
      <c r="I63" s="2" t="s">
        <v>118</v>
      </c>
      <c r="J63" s="2" t="s">
        <v>31</v>
      </c>
      <c r="K63" s="2" t="s">
        <v>119</v>
      </c>
      <c r="L63" s="4">
        <v>1</v>
      </c>
      <c r="M63" s="4">
        <v>1</v>
      </c>
      <c r="N63" s="4">
        <v>35</v>
      </c>
      <c r="O63" s="4">
        <v>17</v>
      </c>
      <c r="P63" s="4">
        <v>6</v>
      </c>
      <c r="Q63" s="10">
        <f t="shared" si="1"/>
        <v>73.91304347826086</v>
      </c>
      <c r="R63" s="5">
        <v>3.8</v>
      </c>
      <c r="S63" s="2" t="s">
        <v>32</v>
      </c>
      <c r="T63" s="5">
        <v>1.4</v>
      </c>
      <c r="U63" s="5">
        <v>59.1</v>
      </c>
      <c r="V63" s="2" t="s">
        <v>53</v>
      </c>
      <c r="W63" s="4">
        <v>5</v>
      </c>
      <c r="X63" s="4">
        <v>5</v>
      </c>
      <c r="Y63" s="2" t="s">
        <v>44</v>
      </c>
      <c r="Z63" s="2" t="s">
        <v>79</v>
      </c>
    </row>
    <row r="64" spans="1:26" x14ac:dyDescent="0.25">
      <c r="A64" s="2" t="s">
        <v>221</v>
      </c>
      <c r="B64" s="2" t="s">
        <v>222</v>
      </c>
      <c r="C64" s="2" t="s">
        <v>223</v>
      </c>
      <c r="D64" s="2" t="s">
        <v>224</v>
      </c>
      <c r="E64" s="3" t="s">
        <v>342</v>
      </c>
      <c r="F64" s="4">
        <f t="shared" ca="1" si="0"/>
        <v>10</v>
      </c>
      <c r="G64" s="2" t="s">
        <v>39</v>
      </c>
      <c r="H64" s="2" t="s">
        <v>49</v>
      </c>
      <c r="I64" s="2" t="s">
        <v>30</v>
      </c>
      <c r="J64" s="2" t="s">
        <v>31</v>
      </c>
      <c r="K64" s="2" t="s">
        <v>31</v>
      </c>
      <c r="L64" s="4">
        <v>1</v>
      </c>
      <c r="M64" s="4">
        <v>1</v>
      </c>
      <c r="N64" s="4">
        <v>27</v>
      </c>
      <c r="O64" s="4">
        <v>8</v>
      </c>
      <c r="P64" s="4">
        <v>10</v>
      </c>
      <c r="Q64" s="10">
        <f t="shared" si="1"/>
        <v>44.444444444444443</v>
      </c>
      <c r="R64" s="5">
        <v>6.5</v>
      </c>
      <c r="S64" s="2" t="s">
        <v>43</v>
      </c>
      <c r="T64" s="5">
        <v>3</v>
      </c>
      <c r="U64" s="5">
        <v>74.3</v>
      </c>
      <c r="V64" s="2" t="s">
        <v>357</v>
      </c>
      <c r="W64" s="4">
        <v>4</v>
      </c>
      <c r="X64" s="4">
        <v>4</v>
      </c>
      <c r="Y64" s="2" t="s">
        <v>44</v>
      </c>
      <c r="Z64" s="2" t="s">
        <v>56</v>
      </c>
    </row>
    <row r="65" spans="1:26" x14ac:dyDescent="0.25">
      <c r="A65" s="2" t="s">
        <v>225</v>
      </c>
      <c r="B65" s="2" t="s">
        <v>226</v>
      </c>
      <c r="C65" s="2" t="s">
        <v>227</v>
      </c>
      <c r="D65" s="2" t="s">
        <v>228</v>
      </c>
      <c r="E65" s="3" t="s">
        <v>346</v>
      </c>
      <c r="F65" s="4">
        <f t="shared" ca="1" si="0"/>
        <v>15</v>
      </c>
      <c r="G65" s="2" t="s">
        <v>28</v>
      </c>
      <c r="H65" s="2" t="s">
        <v>49</v>
      </c>
      <c r="I65" s="2" t="s">
        <v>30</v>
      </c>
      <c r="J65" s="2" t="s">
        <v>31</v>
      </c>
      <c r="K65" s="2" t="s">
        <v>31</v>
      </c>
      <c r="L65" s="4">
        <v>1</v>
      </c>
      <c r="M65" s="4">
        <v>1</v>
      </c>
      <c r="N65" s="4">
        <v>45</v>
      </c>
      <c r="O65" s="4">
        <v>12</v>
      </c>
      <c r="P65" s="4">
        <v>10</v>
      </c>
      <c r="Q65" s="10">
        <f t="shared" si="1"/>
        <v>54.54545454545454</v>
      </c>
      <c r="R65" s="5">
        <v>7.9</v>
      </c>
      <c r="S65" s="2" t="s">
        <v>43</v>
      </c>
      <c r="T65" s="5">
        <v>1.6</v>
      </c>
      <c r="U65" s="5">
        <v>43.8</v>
      </c>
      <c r="V65" s="2" t="s">
        <v>355</v>
      </c>
      <c r="W65" s="4">
        <v>5</v>
      </c>
      <c r="X65" s="4">
        <v>4</v>
      </c>
      <c r="Y65" s="2" t="s">
        <v>44</v>
      </c>
      <c r="Z65" s="2" t="s">
        <v>54</v>
      </c>
    </row>
    <row r="66" spans="1:26" x14ac:dyDescent="0.25">
      <c r="A66" s="2" t="s">
        <v>229</v>
      </c>
      <c r="B66" s="2" t="s">
        <v>230</v>
      </c>
      <c r="C66" s="2" t="s">
        <v>231</v>
      </c>
      <c r="D66" s="2" t="s">
        <v>232</v>
      </c>
      <c r="E66" s="3" t="s">
        <v>351</v>
      </c>
      <c r="F66" s="4">
        <f t="shared" ca="1" si="0"/>
        <v>2</v>
      </c>
      <c r="G66" s="2" t="s">
        <v>39</v>
      </c>
      <c r="H66" s="2" t="s">
        <v>29</v>
      </c>
      <c r="I66" s="2" t="s">
        <v>30</v>
      </c>
      <c r="J66" s="2" t="s">
        <v>31</v>
      </c>
      <c r="K66" s="2" t="s">
        <v>31</v>
      </c>
      <c r="L66" s="4">
        <v>1</v>
      </c>
      <c r="M66" s="4">
        <v>2</v>
      </c>
      <c r="N66" s="4">
        <v>43</v>
      </c>
      <c r="O66" s="4">
        <v>14</v>
      </c>
      <c r="P66" s="4">
        <v>6</v>
      </c>
      <c r="Q66" s="10">
        <f t="shared" si="1"/>
        <v>70</v>
      </c>
      <c r="R66" s="5">
        <v>3.8</v>
      </c>
      <c r="S66" s="2" t="s">
        <v>32</v>
      </c>
      <c r="T66" s="5">
        <v>1.2</v>
      </c>
      <c r="U66" s="5">
        <v>67.2</v>
      </c>
      <c r="V66" s="2" t="s">
        <v>354</v>
      </c>
      <c r="W66" s="4">
        <v>3</v>
      </c>
      <c r="X66" s="4">
        <v>3</v>
      </c>
      <c r="Y66" s="2" t="s">
        <v>33</v>
      </c>
      <c r="Z66" s="2" t="s">
        <v>132</v>
      </c>
    </row>
    <row r="67" spans="1:26" x14ac:dyDescent="0.25">
      <c r="A67" s="2" t="s">
        <v>229</v>
      </c>
      <c r="B67" s="2" t="s">
        <v>230</v>
      </c>
      <c r="C67" s="2" t="s">
        <v>231</v>
      </c>
      <c r="D67" s="2" t="s">
        <v>232</v>
      </c>
      <c r="E67" s="3" t="s">
        <v>351</v>
      </c>
      <c r="F67" s="4">
        <f t="shared" ref="F67:F80" ca="1" si="2">RANDBETWEEN(1,18)</f>
        <v>9</v>
      </c>
      <c r="G67" s="2" t="s">
        <v>39</v>
      </c>
      <c r="H67" s="2" t="s">
        <v>29</v>
      </c>
      <c r="I67" s="2" t="s">
        <v>30</v>
      </c>
      <c r="J67" s="2" t="s">
        <v>31</v>
      </c>
      <c r="K67" s="2" t="s">
        <v>31</v>
      </c>
      <c r="L67" s="4">
        <v>2</v>
      </c>
      <c r="M67" s="4">
        <v>2</v>
      </c>
      <c r="N67" s="4">
        <v>27</v>
      </c>
      <c r="O67" s="4">
        <v>16</v>
      </c>
      <c r="P67" s="4">
        <v>2</v>
      </c>
      <c r="Q67" s="10">
        <f t="shared" ref="Q67:Q80" si="3">O67/(O67+P67)*100</f>
        <v>88.888888888888886</v>
      </c>
      <c r="R67" s="5">
        <v>8</v>
      </c>
      <c r="S67" s="2" t="s">
        <v>32</v>
      </c>
      <c r="T67" s="5">
        <v>1.5</v>
      </c>
      <c r="U67" s="5">
        <v>75.2</v>
      </c>
      <c r="V67" s="2" t="s">
        <v>355</v>
      </c>
      <c r="W67" s="4">
        <v>4</v>
      </c>
      <c r="X67" s="4">
        <v>3</v>
      </c>
      <c r="Y67" s="2" t="s">
        <v>33</v>
      </c>
      <c r="Z67" s="2" t="s">
        <v>124</v>
      </c>
    </row>
    <row r="68" spans="1:26" x14ac:dyDescent="0.25">
      <c r="A68" s="2" t="s">
        <v>233</v>
      </c>
      <c r="B68" s="2" t="s">
        <v>234</v>
      </c>
      <c r="C68" s="2" t="s">
        <v>235</v>
      </c>
      <c r="D68" s="2" t="s">
        <v>236</v>
      </c>
      <c r="E68" s="3" t="s">
        <v>342</v>
      </c>
      <c r="F68" s="4">
        <f t="shared" ca="1" si="2"/>
        <v>14</v>
      </c>
      <c r="G68" s="2" t="s">
        <v>39</v>
      </c>
      <c r="H68" s="2" t="s">
        <v>29</v>
      </c>
      <c r="I68" s="2" t="s">
        <v>30</v>
      </c>
      <c r="J68" s="2" t="s">
        <v>31</v>
      </c>
      <c r="K68" s="2" t="s">
        <v>31</v>
      </c>
      <c r="L68" s="4">
        <v>1</v>
      </c>
      <c r="M68" s="4">
        <v>3</v>
      </c>
      <c r="N68" s="4">
        <v>36</v>
      </c>
      <c r="O68" s="4">
        <v>18</v>
      </c>
      <c r="P68" s="4">
        <v>5</v>
      </c>
      <c r="Q68" s="10">
        <f t="shared" si="3"/>
        <v>78.260869565217391</v>
      </c>
      <c r="R68" s="5">
        <v>7.7</v>
      </c>
      <c r="S68" s="2" t="s">
        <v>32</v>
      </c>
      <c r="T68" s="5">
        <v>1.2</v>
      </c>
      <c r="U68" s="5">
        <v>49</v>
      </c>
      <c r="V68" s="2" t="s">
        <v>53</v>
      </c>
      <c r="W68" s="4">
        <v>4</v>
      </c>
      <c r="X68" s="4">
        <v>5</v>
      </c>
      <c r="Y68" s="2" t="s">
        <v>44</v>
      </c>
      <c r="Z68" s="2" t="s">
        <v>109</v>
      </c>
    </row>
    <row r="69" spans="1:26" x14ac:dyDescent="0.25">
      <c r="A69" s="2" t="s">
        <v>233</v>
      </c>
      <c r="B69" s="2" t="s">
        <v>234</v>
      </c>
      <c r="C69" s="2" t="s">
        <v>235</v>
      </c>
      <c r="D69" s="2" t="s">
        <v>236</v>
      </c>
      <c r="E69" s="3" t="s">
        <v>341</v>
      </c>
      <c r="F69" s="4">
        <f t="shared" ca="1" si="2"/>
        <v>11</v>
      </c>
      <c r="G69" s="2" t="s">
        <v>39</v>
      </c>
      <c r="H69" s="2" t="s">
        <v>29</v>
      </c>
      <c r="I69" s="2" t="s">
        <v>30</v>
      </c>
      <c r="J69" s="2" t="s">
        <v>31</v>
      </c>
      <c r="K69" s="2" t="s">
        <v>31</v>
      </c>
      <c r="L69" s="4">
        <v>2</v>
      </c>
      <c r="M69" s="4">
        <v>3</v>
      </c>
      <c r="N69" s="4">
        <v>38</v>
      </c>
      <c r="O69" s="4">
        <v>13</v>
      </c>
      <c r="P69" s="4">
        <v>4</v>
      </c>
      <c r="Q69" s="10">
        <f t="shared" si="3"/>
        <v>76.470588235294116</v>
      </c>
      <c r="R69" s="5">
        <v>6</v>
      </c>
      <c r="S69" s="2" t="s">
        <v>43</v>
      </c>
      <c r="T69" s="5">
        <v>3.3</v>
      </c>
      <c r="U69" s="5">
        <v>56.6</v>
      </c>
      <c r="V69" s="2" t="s">
        <v>356</v>
      </c>
      <c r="W69" s="4">
        <v>5</v>
      </c>
      <c r="X69" s="4">
        <v>5</v>
      </c>
      <c r="Y69" s="2" t="s">
        <v>44</v>
      </c>
      <c r="Z69" s="2" t="s">
        <v>34</v>
      </c>
    </row>
    <row r="70" spans="1:26" x14ac:dyDescent="0.25">
      <c r="A70" s="2" t="s">
        <v>233</v>
      </c>
      <c r="B70" s="2" t="s">
        <v>234</v>
      </c>
      <c r="C70" s="2" t="s">
        <v>235</v>
      </c>
      <c r="D70" s="2" t="s">
        <v>236</v>
      </c>
      <c r="E70" s="3" t="s">
        <v>352</v>
      </c>
      <c r="F70" s="4">
        <f t="shared" ca="1" si="2"/>
        <v>11</v>
      </c>
      <c r="G70" s="2" t="s">
        <v>39</v>
      </c>
      <c r="H70" s="2" t="s">
        <v>29</v>
      </c>
      <c r="I70" s="2" t="s">
        <v>30</v>
      </c>
      <c r="J70" s="2" t="s">
        <v>31</v>
      </c>
      <c r="K70" s="2" t="s">
        <v>31</v>
      </c>
      <c r="L70" s="4">
        <v>3</v>
      </c>
      <c r="M70" s="4">
        <v>3</v>
      </c>
      <c r="N70" s="4">
        <v>36</v>
      </c>
      <c r="O70" s="4">
        <v>15</v>
      </c>
      <c r="P70" s="4">
        <v>4</v>
      </c>
      <c r="Q70" s="10">
        <f t="shared" si="3"/>
        <v>78.94736842105263</v>
      </c>
      <c r="R70" s="5">
        <v>7.1</v>
      </c>
      <c r="S70" s="2" t="s">
        <v>43</v>
      </c>
      <c r="T70" s="5">
        <v>3.5</v>
      </c>
      <c r="U70" s="5">
        <v>45.6</v>
      </c>
      <c r="V70" s="2" t="s">
        <v>356</v>
      </c>
      <c r="W70" s="4">
        <v>4</v>
      </c>
      <c r="X70" s="4">
        <v>5</v>
      </c>
      <c r="Y70" s="2" t="s">
        <v>44</v>
      </c>
      <c r="Z70" s="2" t="s">
        <v>56</v>
      </c>
    </row>
    <row r="71" spans="1:26" x14ac:dyDescent="0.25">
      <c r="A71" s="2" t="s">
        <v>237</v>
      </c>
      <c r="B71" s="2" t="s">
        <v>238</v>
      </c>
      <c r="C71" s="2" t="s">
        <v>239</v>
      </c>
      <c r="D71" s="2" t="s">
        <v>240</v>
      </c>
      <c r="E71" s="3" t="s">
        <v>351</v>
      </c>
      <c r="F71" s="4">
        <f t="shared" ca="1" si="2"/>
        <v>7</v>
      </c>
      <c r="G71" s="2" t="s">
        <v>28</v>
      </c>
      <c r="H71" s="2" t="s">
        <v>65</v>
      </c>
      <c r="I71" s="2" t="s">
        <v>30</v>
      </c>
      <c r="J71" s="2" t="s">
        <v>31</v>
      </c>
      <c r="K71" s="2" t="s">
        <v>31</v>
      </c>
      <c r="L71" s="4">
        <v>1</v>
      </c>
      <c r="M71" s="4">
        <v>3</v>
      </c>
      <c r="N71" s="4">
        <v>35</v>
      </c>
      <c r="O71" s="4">
        <v>9</v>
      </c>
      <c r="P71" s="4">
        <v>11</v>
      </c>
      <c r="Q71" s="10">
        <f t="shared" si="3"/>
        <v>45</v>
      </c>
      <c r="R71" s="5">
        <v>6.7</v>
      </c>
      <c r="S71" s="2" t="s">
        <v>55</v>
      </c>
      <c r="T71" s="5">
        <v>3.4</v>
      </c>
      <c r="U71" s="5">
        <v>80.8</v>
      </c>
      <c r="V71" s="2" t="s">
        <v>356</v>
      </c>
      <c r="W71" s="4">
        <v>5</v>
      </c>
      <c r="X71" s="4">
        <v>3</v>
      </c>
      <c r="Y71" s="2" t="s">
        <v>44</v>
      </c>
      <c r="Z71" s="2"/>
    </row>
    <row r="72" spans="1:26" x14ac:dyDescent="0.25">
      <c r="A72" s="2" t="s">
        <v>237</v>
      </c>
      <c r="B72" s="2" t="s">
        <v>238</v>
      </c>
      <c r="C72" s="2" t="s">
        <v>239</v>
      </c>
      <c r="D72" s="2" t="s">
        <v>240</v>
      </c>
      <c r="E72" s="3" t="s">
        <v>350</v>
      </c>
      <c r="F72" s="4">
        <f t="shared" ca="1" si="2"/>
        <v>9</v>
      </c>
      <c r="G72" s="2" t="s">
        <v>28</v>
      </c>
      <c r="H72" s="2" t="s">
        <v>65</v>
      </c>
      <c r="I72" s="2" t="s">
        <v>30</v>
      </c>
      <c r="J72" s="2" t="s">
        <v>31</v>
      </c>
      <c r="K72" s="2" t="s">
        <v>31</v>
      </c>
      <c r="L72" s="4">
        <v>2</v>
      </c>
      <c r="M72" s="4">
        <v>3</v>
      </c>
      <c r="N72" s="4">
        <v>33</v>
      </c>
      <c r="O72" s="4">
        <v>6</v>
      </c>
      <c r="P72" s="4">
        <v>12</v>
      </c>
      <c r="Q72" s="10">
        <f t="shared" si="3"/>
        <v>33.333333333333329</v>
      </c>
      <c r="R72" s="5">
        <v>3.7</v>
      </c>
      <c r="S72" s="2" t="s">
        <v>55</v>
      </c>
      <c r="T72" s="5">
        <v>2.9</v>
      </c>
      <c r="U72" s="5">
        <v>67.900000000000006</v>
      </c>
      <c r="V72" s="2" t="s">
        <v>357</v>
      </c>
      <c r="W72" s="4">
        <v>3</v>
      </c>
      <c r="X72" s="4">
        <v>5</v>
      </c>
      <c r="Y72" s="2" t="s">
        <v>44</v>
      </c>
      <c r="Z72" s="2" t="s">
        <v>54</v>
      </c>
    </row>
    <row r="73" spans="1:26" x14ac:dyDescent="0.25">
      <c r="A73" s="2" t="s">
        <v>237</v>
      </c>
      <c r="B73" s="2" t="s">
        <v>238</v>
      </c>
      <c r="C73" s="2" t="s">
        <v>239</v>
      </c>
      <c r="D73" s="2" t="s">
        <v>240</v>
      </c>
      <c r="E73" s="3" t="s">
        <v>336</v>
      </c>
      <c r="F73" s="4">
        <f t="shared" ca="1" si="2"/>
        <v>3</v>
      </c>
      <c r="G73" s="2" t="s">
        <v>28</v>
      </c>
      <c r="H73" s="2" t="s">
        <v>65</v>
      </c>
      <c r="I73" s="2" t="s">
        <v>30</v>
      </c>
      <c r="J73" s="2" t="s">
        <v>31</v>
      </c>
      <c r="K73" s="2" t="s">
        <v>31</v>
      </c>
      <c r="L73" s="4">
        <v>3</v>
      </c>
      <c r="M73" s="4">
        <v>3</v>
      </c>
      <c r="N73" s="4">
        <v>44</v>
      </c>
      <c r="O73" s="4">
        <v>10</v>
      </c>
      <c r="P73" s="4">
        <v>11</v>
      </c>
      <c r="Q73" s="10">
        <f t="shared" si="3"/>
        <v>47.619047619047613</v>
      </c>
      <c r="R73" s="5">
        <v>7.3</v>
      </c>
      <c r="S73" s="2" t="s">
        <v>43</v>
      </c>
      <c r="T73" s="5">
        <v>2.2999999999999998</v>
      </c>
      <c r="U73" s="5">
        <v>84.5</v>
      </c>
      <c r="V73" s="2" t="s">
        <v>355</v>
      </c>
      <c r="W73" s="4">
        <v>3</v>
      </c>
      <c r="X73" s="4">
        <v>3</v>
      </c>
      <c r="Y73" s="2" t="s">
        <v>44</v>
      </c>
      <c r="Z73" s="2" t="s">
        <v>109</v>
      </c>
    </row>
    <row r="74" spans="1:26" x14ac:dyDescent="0.25">
      <c r="A74" s="2" t="s">
        <v>241</v>
      </c>
      <c r="B74" s="2" t="s">
        <v>242</v>
      </c>
      <c r="C74" s="2" t="s">
        <v>243</v>
      </c>
      <c r="D74" s="2" t="s">
        <v>244</v>
      </c>
      <c r="E74" s="3" t="s">
        <v>338</v>
      </c>
      <c r="F74" s="4">
        <f t="shared" ca="1" si="2"/>
        <v>1</v>
      </c>
      <c r="G74" s="2" t="s">
        <v>28</v>
      </c>
      <c r="H74" s="2" t="s">
        <v>49</v>
      </c>
      <c r="I74" s="2" t="s">
        <v>89</v>
      </c>
      <c r="J74" s="2" t="s">
        <v>31</v>
      </c>
      <c r="K74" s="2" t="s">
        <v>90</v>
      </c>
      <c r="L74" s="4">
        <v>1</v>
      </c>
      <c r="M74" s="4">
        <v>3</v>
      </c>
      <c r="N74" s="4">
        <v>36</v>
      </c>
      <c r="O74" s="4">
        <v>11</v>
      </c>
      <c r="P74" s="4">
        <v>9</v>
      </c>
      <c r="Q74" s="10">
        <f t="shared" si="3"/>
        <v>55.000000000000007</v>
      </c>
      <c r="R74" s="5">
        <v>4.5999999999999996</v>
      </c>
      <c r="S74" s="2" t="s">
        <v>43</v>
      </c>
      <c r="T74" s="5">
        <v>1.7</v>
      </c>
      <c r="U74" s="5">
        <v>74.2</v>
      </c>
      <c r="V74" s="2" t="s">
        <v>356</v>
      </c>
      <c r="W74" s="4">
        <v>3</v>
      </c>
      <c r="X74" s="4">
        <v>5</v>
      </c>
      <c r="Y74" s="2" t="s">
        <v>33</v>
      </c>
      <c r="Z74" s="2" t="s">
        <v>132</v>
      </c>
    </row>
    <row r="75" spans="1:26" x14ac:dyDescent="0.25">
      <c r="A75" s="2" t="s">
        <v>241</v>
      </c>
      <c r="B75" s="2" t="s">
        <v>242</v>
      </c>
      <c r="C75" s="2" t="s">
        <v>243</v>
      </c>
      <c r="D75" s="2" t="s">
        <v>244</v>
      </c>
      <c r="E75" s="3" t="s">
        <v>335</v>
      </c>
      <c r="F75" s="4">
        <f t="shared" ca="1" si="2"/>
        <v>3</v>
      </c>
      <c r="G75" s="2" t="s">
        <v>28</v>
      </c>
      <c r="H75" s="2" t="s">
        <v>49</v>
      </c>
      <c r="I75" s="2" t="s">
        <v>89</v>
      </c>
      <c r="J75" s="2" t="s">
        <v>31</v>
      </c>
      <c r="K75" s="2" t="s">
        <v>90</v>
      </c>
      <c r="L75" s="4">
        <v>2</v>
      </c>
      <c r="M75" s="4">
        <v>3</v>
      </c>
      <c r="N75" s="4">
        <v>45</v>
      </c>
      <c r="O75" s="4">
        <v>13</v>
      </c>
      <c r="P75" s="4">
        <v>4</v>
      </c>
      <c r="Q75" s="10">
        <f t="shared" si="3"/>
        <v>76.470588235294116</v>
      </c>
      <c r="R75" s="5">
        <v>8.1999999999999993</v>
      </c>
      <c r="S75" s="2" t="s">
        <v>43</v>
      </c>
      <c r="T75" s="5">
        <v>1.5</v>
      </c>
      <c r="U75" s="5">
        <v>55</v>
      </c>
      <c r="V75" s="2" t="s">
        <v>355</v>
      </c>
      <c r="W75" s="4">
        <v>3</v>
      </c>
      <c r="X75" s="4">
        <v>5</v>
      </c>
      <c r="Y75" s="2" t="s">
        <v>33</v>
      </c>
      <c r="Z75" s="2" t="s">
        <v>79</v>
      </c>
    </row>
    <row r="76" spans="1:26" x14ac:dyDescent="0.25">
      <c r="A76" s="2" t="s">
        <v>241</v>
      </c>
      <c r="B76" s="2" t="s">
        <v>242</v>
      </c>
      <c r="C76" s="2" t="s">
        <v>243</v>
      </c>
      <c r="D76" s="2" t="s">
        <v>244</v>
      </c>
      <c r="E76" s="3" t="s">
        <v>353</v>
      </c>
      <c r="F76" s="4">
        <f t="shared" ca="1" si="2"/>
        <v>12</v>
      </c>
      <c r="G76" s="2" t="s">
        <v>28</v>
      </c>
      <c r="H76" s="2" t="s">
        <v>49</v>
      </c>
      <c r="I76" s="2" t="s">
        <v>89</v>
      </c>
      <c r="J76" s="2" t="s">
        <v>31</v>
      </c>
      <c r="K76" s="2" t="s">
        <v>90</v>
      </c>
      <c r="L76" s="4">
        <v>3</v>
      </c>
      <c r="M76" s="4">
        <v>3</v>
      </c>
      <c r="N76" s="4">
        <v>35</v>
      </c>
      <c r="O76" s="4">
        <v>10</v>
      </c>
      <c r="P76" s="4">
        <v>9</v>
      </c>
      <c r="Q76" s="10">
        <f t="shared" si="3"/>
        <v>52.631578947368418</v>
      </c>
      <c r="R76" s="5">
        <v>4.7</v>
      </c>
      <c r="S76" s="2" t="s">
        <v>43</v>
      </c>
      <c r="T76" s="5">
        <v>2.1</v>
      </c>
      <c r="U76" s="5">
        <v>73.400000000000006</v>
      </c>
      <c r="V76" s="2" t="s">
        <v>53</v>
      </c>
      <c r="W76" s="4">
        <v>5</v>
      </c>
      <c r="X76" s="4">
        <v>5</v>
      </c>
      <c r="Y76" s="2" t="s">
        <v>44</v>
      </c>
      <c r="Z76" s="2" t="s">
        <v>34</v>
      </c>
    </row>
    <row r="77" spans="1:26" x14ac:dyDescent="0.25">
      <c r="A77" s="2" t="s">
        <v>245</v>
      </c>
      <c r="B77" s="2" t="s">
        <v>246</v>
      </c>
      <c r="C77" s="2" t="s">
        <v>247</v>
      </c>
      <c r="D77" s="2" t="s">
        <v>248</v>
      </c>
      <c r="E77" s="3" t="s">
        <v>352</v>
      </c>
      <c r="F77" s="4">
        <f t="shared" ca="1" si="2"/>
        <v>13</v>
      </c>
      <c r="G77" s="2" t="s">
        <v>28</v>
      </c>
      <c r="H77" s="2" t="s">
        <v>49</v>
      </c>
      <c r="I77" s="2" t="s">
        <v>41</v>
      </c>
      <c r="J77" s="2" t="s">
        <v>31</v>
      </c>
      <c r="K77" s="2" t="s">
        <v>42</v>
      </c>
      <c r="L77" s="4">
        <v>1</v>
      </c>
      <c r="M77" s="4">
        <v>1</v>
      </c>
      <c r="N77" s="4">
        <v>43</v>
      </c>
      <c r="O77" s="4">
        <v>11</v>
      </c>
      <c r="P77" s="4">
        <v>8</v>
      </c>
      <c r="Q77" s="10">
        <f t="shared" si="3"/>
        <v>57.894736842105267</v>
      </c>
      <c r="R77" s="5">
        <v>8</v>
      </c>
      <c r="S77" s="2" t="s">
        <v>43</v>
      </c>
      <c r="T77" s="5">
        <v>1.3</v>
      </c>
      <c r="U77" s="5">
        <v>49.5</v>
      </c>
      <c r="V77" s="2" t="s">
        <v>355</v>
      </c>
      <c r="W77" s="4">
        <v>4</v>
      </c>
      <c r="X77" s="4">
        <v>3</v>
      </c>
      <c r="Y77" s="2" t="s">
        <v>44</v>
      </c>
      <c r="Z77" s="2" t="s">
        <v>124</v>
      </c>
    </row>
    <row r="78" spans="1:26" x14ac:dyDescent="0.25">
      <c r="A78" s="2" t="s">
        <v>249</v>
      </c>
      <c r="B78" s="2" t="s">
        <v>250</v>
      </c>
      <c r="C78" s="2" t="s">
        <v>251</v>
      </c>
      <c r="D78" s="2" t="s">
        <v>252</v>
      </c>
      <c r="E78" s="3" t="s">
        <v>352</v>
      </c>
      <c r="F78" s="4">
        <f t="shared" ca="1" si="2"/>
        <v>4</v>
      </c>
      <c r="G78" s="2" t="s">
        <v>28</v>
      </c>
      <c r="H78" s="2" t="s">
        <v>29</v>
      </c>
      <c r="I78" s="2" t="s">
        <v>50</v>
      </c>
      <c r="J78" s="2" t="s">
        <v>31</v>
      </c>
      <c r="K78" s="2" t="s">
        <v>51</v>
      </c>
      <c r="L78" s="4">
        <v>1</v>
      </c>
      <c r="M78" s="4">
        <v>1</v>
      </c>
      <c r="N78" s="4">
        <v>38</v>
      </c>
      <c r="O78" s="4">
        <v>15</v>
      </c>
      <c r="P78" s="4">
        <v>6</v>
      </c>
      <c r="Q78" s="10">
        <f t="shared" si="3"/>
        <v>71.428571428571431</v>
      </c>
      <c r="R78" s="5">
        <v>3.5</v>
      </c>
      <c r="S78" s="2" t="s">
        <v>32</v>
      </c>
      <c r="T78" s="5">
        <v>3.4</v>
      </c>
      <c r="U78" s="5">
        <v>81.599999999999994</v>
      </c>
      <c r="V78" s="2" t="s">
        <v>53</v>
      </c>
      <c r="W78" s="4">
        <v>3</v>
      </c>
      <c r="X78" s="4">
        <v>3</v>
      </c>
      <c r="Y78" s="2" t="s">
        <v>33</v>
      </c>
      <c r="Z78" s="2" t="s">
        <v>124</v>
      </c>
    </row>
    <row r="79" spans="1:26" x14ac:dyDescent="0.25">
      <c r="A79" s="2" t="s">
        <v>253</v>
      </c>
      <c r="B79" s="2" t="s">
        <v>254</v>
      </c>
      <c r="C79" s="2" t="s">
        <v>255</v>
      </c>
      <c r="D79" s="2" t="s">
        <v>256</v>
      </c>
      <c r="E79" s="3" t="s">
        <v>335</v>
      </c>
      <c r="F79" s="4">
        <f t="shared" ca="1" si="2"/>
        <v>10</v>
      </c>
      <c r="G79" s="2" t="s">
        <v>39</v>
      </c>
      <c r="H79" s="2" t="s">
        <v>29</v>
      </c>
      <c r="I79" s="2" t="s">
        <v>30</v>
      </c>
      <c r="J79" s="2" t="s">
        <v>31</v>
      </c>
      <c r="K79" s="2" t="s">
        <v>31</v>
      </c>
      <c r="L79" s="4">
        <v>1</v>
      </c>
      <c r="M79" s="4">
        <v>1</v>
      </c>
      <c r="N79" s="4">
        <v>38</v>
      </c>
      <c r="O79" s="4">
        <v>15</v>
      </c>
      <c r="P79" s="4">
        <v>2</v>
      </c>
      <c r="Q79" s="10">
        <f t="shared" si="3"/>
        <v>88.235294117647058</v>
      </c>
      <c r="R79" s="5">
        <v>6.9</v>
      </c>
      <c r="S79" s="2" t="s">
        <v>43</v>
      </c>
      <c r="T79" s="5">
        <v>1.8</v>
      </c>
      <c r="U79" s="5">
        <v>58.9</v>
      </c>
      <c r="V79" s="2" t="s">
        <v>356</v>
      </c>
      <c r="W79" s="4">
        <v>5</v>
      </c>
      <c r="X79" s="4">
        <v>3</v>
      </c>
      <c r="Y79" s="2" t="s">
        <v>33</v>
      </c>
      <c r="Z79" s="2" t="s">
        <v>124</v>
      </c>
    </row>
    <row r="80" spans="1:26" x14ac:dyDescent="0.25">
      <c r="A80" s="2" t="s">
        <v>257</v>
      </c>
      <c r="B80" s="2" t="s">
        <v>258</v>
      </c>
      <c r="C80" s="2" t="s">
        <v>259</v>
      </c>
      <c r="D80" s="2" t="s">
        <v>260</v>
      </c>
      <c r="E80" s="3" t="s">
        <v>349</v>
      </c>
      <c r="F80" s="4">
        <f t="shared" ca="1" si="2"/>
        <v>12</v>
      </c>
      <c r="G80" s="2" t="s">
        <v>39</v>
      </c>
      <c r="H80" s="2" t="s">
        <v>29</v>
      </c>
      <c r="I80" s="2" t="s">
        <v>99</v>
      </c>
      <c r="J80" s="2" t="s">
        <v>31</v>
      </c>
      <c r="K80" s="2" t="s">
        <v>100</v>
      </c>
      <c r="L80" s="4">
        <v>1</v>
      </c>
      <c r="M80" s="4">
        <v>1</v>
      </c>
      <c r="N80" s="4">
        <v>44</v>
      </c>
      <c r="O80" s="4">
        <v>14</v>
      </c>
      <c r="P80" s="4">
        <v>4</v>
      </c>
      <c r="Q80" s="10">
        <f t="shared" si="3"/>
        <v>77.777777777777786</v>
      </c>
      <c r="R80" s="5">
        <v>7.4</v>
      </c>
      <c r="S80" s="2" t="s">
        <v>32</v>
      </c>
      <c r="T80" s="5">
        <v>2</v>
      </c>
      <c r="U80" s="5">
        <v>47.3</v>
      </c>
      <c r="V80" s="2" t="s">
        <v>53</v>
      </c>
      <c r="W80" s="4">
        <v>3</v>
      </c>
      <c r="X80" s="4">
        <v>5</v>
      </c>
      <c r="Y80" s="2" t="s">
        <v>44</v>
      </c>
      <c r="Z8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45" customWidth="1"/>
    <col min="4" max="4" width="50" customWidth="1"/>
  </cols>
  <sheetData>
    <row r="1" spans="1:4" ht="18.75" x14ac:dyDescent="0.3">
      <c r="A1" s="14" t="s">
        <v>261</v>
      </c>
      <c r="B1" s="15"/>
      <c r="C1" s="15"/>
      <c r="D1" s="15"/>
    </row>
    <row r="3" spans="1:4" x14ac:dyDescent="0.25">
      <c r="A3" s="6" t="s">
        <v>262</v>
      </c>
      <c r="B3" s="6" t="s">
        <v>263</v>
      </c>
      <c r="C3" s="6" t="s">
        <v>264</v>
      </c>
      <c r="D3" s="6" t="s">
        <v>265</v>
      </c>
    </row>
    <row r="4" spans="1:4" x14ac:dyDescent="0.25">
      <c r="A4" s="7" t="s">
        <v>266</v>
      </c>
      <c r="B4" s="7">
        <v>49</v>
      </c>
      <c r="C4" s="8" t="s">
        <v>267</v>
      </c>
      <c r="D4" s="8" t="s">
        <v>268</v>
      </c>
    </row>
    <row r="5" spans="1:4" x14ac:dyDescent="0.25">
      <c r="A5" s="7" t="s">
        <v>269</v>
      </c>
      <c r="B5" s="9">
        <f ca="1">AVERAGE('Datos Participantes'!F2:F200)</f>
        <v>9.0506329113924053</v>
      </c>
      <c r="C5" s="8" t="s">
        <v>270</v>
      </c>
      <c r="D5" s="8" t="s">
        <v>271</v>
      </c>
    </row>
    <row r="6" spans="1:4" x14ac:dyDescent="0.25">
      <c r="A6" s="7" t="s">
        <v>272</v>
      </c>
      <c r="B6" s="9">
        <f>AVERAGE('Datos Participantes'!Q2:Q200)</f>
        <v>67.487346094725879</v>
      </c>
      <c r="C6" s="8" t="s">
        <v>273</v>
      </c>
      <c r="D6" s="8" t="s">
        <v>274</v>
      </c>
    </row>
    <row r="7" spans="1:4" x14ac:dyDescent="0.25">
      <c r="A7" s="7" t="s">
        <v>275</v>
      </c>
      <c r="B7" s="9">
        <f>AVERAGE('Datos Participantes'!N2:N200)</f>
        <v>35.797468354430379</v>
      </c>
      <c r="C7" s="8" t="s">
        <v>276</v>
      </c>
      <c r="D7" s="8" t="s">
        <v>277</v>
      </c>
    </row>
    <row r="8" spans="1:4" x14ac:dyDescent="0.25">
      <c r="A8" s="7" t="s">
        <v>278</v>
      </c>
      <c r="B8" s="9">
        <f>AVERAGE('Datos Participantes'!W2:W200)</f>
        <v>4.1265822784810124</v>
      </c>
      <c r="C8" s="8" t="s">
        <v>279</v>
      </c>
      <c r="D8" s="8" t="s">
        <v>280</v>
      </c>
    </row>
    <row r="9" spans="1:4" x14ac:dyDescent="0.25">
      <c r="A9" s="7" t="s">
        <v>281</v>
      </c>
      <c r="B9" s="9">
        <f>AVERAGE('Datos Participantes'!X2:X200)</f>
        <v>4.1012658227848098</v>
      </c>
      <c r="C9" s="8" t="s">
        <v>282</v>
      </c>
      <c r="D9" s="8" t="s">
        <v>283</v>
      </c>
    </row>
    <row r="10" spans="1:4" x14ac:dyDescent="0.25">
      <c r="A10" s="7" t="s">
        <v>284</v>
      </c>
      <c r="B10" s="9">
        <f>COUNTIF('Datos Participantes'!Y2:Y200,"Sí")/COUNTA('Datos Participantes'!Y2:Y200)*100</f>
        <v>70.886075949367083</v>
      </c>
      <c r="C10" s="8" t="s">
        <v>285</v>
      </c>
      <c r="D10" s="8" t="s">
        <v>286</v>
      </c>
    </row>
    <row r="11" spans="1:4" ht="30" x14ac:dyDescent="0.25">
      <c r="A11" s="7" t="s">
        <v>358</v>
      </c>
      <c r="B11" s="9" t="s">
        <v>53</v>
      </c>
      <c r="C11" s="8" t="s">
        <v>359</v>
      </c>
      <c r="D11" s="8" t="s">
        <v>360</v>
      </c>
    </row>
    <row r="13" spans="1:4" ht="18.75" x14ac:dyDescent="0.3">
      <c r="A13" s="14" t="s">
        <v>363</v>
      </c>
      <c r="B13" s="15"/>
      <c r="C13" s="15"/>
      <c r="D13" s="15"/>
    </row>
    <row r="15" spans="1:4" x14ac:dyDescent="0.25">
      <c r="A15" s="6" t="s">
        <v>364</v>
      </c>
      <c r="B15" s="6" t="s">
        <v>365</v>
      </c>
      <c r="C15" s="6" t="s">
        <v>366</v>
      </c>
    </row>
    <row r="16" spans="1:4" x14ac:dyDescent="0.25">
      <c r="A16" s="11" t="s">
        <v>357</v>
      </c>
      <c r="B16" s="11">
        <f>COUNTIF('Datos Participantes'!V:V,"Feliz")</f>
        <v>14</v>
      </c>
      <c r="C16" s="12">
        <f>COUNTIF('Datos Participantes'!V:V,"Feliz")/COUNTA('Datos Participantes'!V2:V200)*100</f>
        <v>17.721518987341771</v>
      </c>
    </row>
    <row r="17" spans="1:3" x14ac:dyDescent="0.25">
      <c r="A17" s="11" t="s">
        <v>53</v>
      </c>
      <c r="B17" s="11">
        <f>COUNTIF('Datos Participantes'!V:V,"Neutral")</f>
        <v>19</v>
      </c>
      <c r="C17" s="12">
        <f>COUNTIF('Datos Participantes'!V:V,"Neutral")/COUNTA('Datos Participantes'!V2:V200)*100</f>
        <v>24.050632911392405</v>
      </c>
    </row>
    <row r="18" spans="1:3" x14ac:dyDescent="0.25">
      <c r="A18" s="11" t="s">
        <v>356</v>
      </c>
      <c r="B18" s="11">
        <f>COUNTIF('Datos Participantes'!V:V,"Triste")</f>
        <v>14</v>
      </c>
      <c r="C18" s="12">
        <f>COUNTIF('Datos Participantes'!V:V,"Triste")/COUNTA('Datos Participantes'!V2:V200)*100</f>
        <v>17.721518987341771</v>
      </c>
    </row>
    <row r="19" spans="1:3" x14ac:dyDescent="0.25">
      <c r="A19" s="11" t="s">
        <v>354</v>
      </c>
      <c r="B19" s="11">
        <f>COUNTIF('Datos Participantes'!V:V,"Enojado")</f>
        <v>17</v>
      </c>
      <c r="C19" s="12">
        <f>COUNTIF('Datos Participantes'!V:V,"Enojado")/COUNTA('Datos Participantes'!V2:V200)*100</f>
        <v>21.518987341772153</v>
      </c>
    </row>
    <row r="20" spans="1:3" x14ac:dyDescent="0.25">
      <c r="A20" s="11" t="s">
        <v>355</v>
      </c>
      <c r="B20" s="11">
        <f>COUNTIF('Datos Participantes'!V:V,"Disgustado")</f>
        <v>15</v>
      </c>
      <c r="C20" s="12">
        <f>COUNTIF('Datos Participantes'!V:V,"Disgustado")/COUNTA('Datos Participantes'!V2:V200)*100</f>
        <v>18.9873417721519</v>
      </c>
    </row>
    <row r="21" spans="1:3" x14ac:dyDescent="0.25">
      <c r="A21" s="13" t="s">
        <v>367</v>
      </c>
      <c r="B21" s="13">
        <f>SUM(B16:B20)</f>
        <v>79</v>
      </c>
      <c r="C21" s="13">
        <f>SUM(C16:C20)</f>
        <v>100</v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I22" sqref="I22"/>
    </sheetView>
  </sheetViews>
  <sheetFormatPr baseColWidth="10" defaultColWidth="9.140625" defaultRowHeight="15" x14ac:dyDescent="0.25"/>
  <cols>
    <col min="1" max="1" width="35" customWidth="1"/>
    <col min="2" max="2" width="15" customWidth="1"/>
    <col min="3" max="3" width="30" customWidth="1"/>
    <col min="4" max="4" width="60" customWidth="1"/>
  </cols>
  <sheetData>
    <row r="1" spans="1:4" ht="18.75" x14ac:dyDescent="0.3">
      <c r="A1" s="14" t="s">
        <v>287</v>
      </c>
      <c r="B1" s="15"/>
      <c r="C1" s="15"/>
      <c r="D1" s="15"/>
    </row>
    <row r="3" spans="1:4" x14ac:dyDescent="0.25">
      <c r="A3" s="6" t="s">
        <v>288</v>
      </c>
      <c r="B3" s="6" t="s">
        <v>289</v>
      </c>
      <c r="C3" s="6" t="s">
        <v>290</v>
      </c>
      <c r="D3" s="6" t="s">
        <v>265</v>
      </c>
    </row>
    <row r="4" spans="1:4" x14ac:dyDescent="0.25">
      <c r="A4" s="8" t="s">
        <v>0</v>
      </c>
      <c r="B4" s="8" t="s">
        <v>291</v>
      </c>
      <c r="C4" s="8" t="s">
        <v>292</v>
      </c>
      <c r="D4" s="8" t="s">
        <v>293</v>
      </c>
    </row>
    <row r="5" spans="1:4" x14ac:dyDescent="0.25">
      <c r="A5" s="8" t="s">
        <v>1</v>
      </c>
      <c r="B5" s="8" t="s">
        <v>291</v>
      </c>
      <c r="C5" s="8" t="s">
        <v>294</v>
      </c>
      <c r="D5" s="8" t="s">
        <v>295</v>
      </c>
    </row>
    <row r="6" spans="1:4" x14ac:dyDescent="0.25">
      <c r="A6" s="8" t="s">
        <v>2</v>
      </c>
      <c r="B6" s="8" t="s">
        <v>291</v>
      </c>
      <c r="C6" s="8" t="s">
        <v>296</v>
      </c>
      <c r="D6" s="8" t="s">
        <v>297</v>
      </c>
    </row>
    <row r="7" spans="1:4" x14ac:dyDescent="0.25">
      <c r="A7" s="8" t="s">
        <v>3</v>
      </c>
      <c r="B7" s="8" t="s">
        <v>291</v>
      </c>
      <c r="C7" s="8" t="s">
        <v>296</v>
      </c>
      <c r="D7" s="8" t="s">
        <v>298</v>
      </c>
    </row>
    <row r="8" spans="1:4" x14ac:dyDescent="0.25">
      <c r="A8" s="8" t="s">
        <v>4</v>
      </c>
      <c r="B8" s="8" t="s">
        <v>299</v>
      </c>
      <c r="C8" s="8" t="s">
        <v>300</v>
      </c>
      <c r="D8" s="8" t="s">
        <v>301</v>
      </c>
    </row>
    <row r="9" spans="1:4" x14ac:dyDescent="0.25">
      <c r="A9" s="8" t="s">
        <v>5</v>
      </c>
      <c r="B9" s="8" t="s">
        <v>302</v>
      </c>
      <c r="C9" s="8" t="s">
        <v>303</v>
      </c>
      <c r="D9" s="8" t="s">
        <v>304</v>
      </c>
    </row>
    <row r="10" spans="1:4" x14ac:dyDescent="0.25">
      <c r="A10" s="8" t="s">
        <v>6</v>
      </c>
      <c r="B10" s="8" t="s">
        <v>291</v>
      </c>
      <c r="C10" s="8" t="s">
        <v>305</v>
      </c>
      <c r="D10" s="8" t="s">
        <v>306</v>
      </c>
    </row>
    <row r="11" spans="1:4" ht="30" x14ac:dyDescent="0.25">
      <c r="A11" s="8" t="s">
        <v>7</v>
      </c>
      <c r="B11" s="8" t="s">
        <v>291</v>
      </c>
      <c r="C11" s="8" t="s">
        <v>307</v>
      </c>
      <c r="D11" s="8" t="s">
        <v>308</v>
      </c>
    </row>
    <row r="12" spans="1:4" x14ac:dyDescent="0.25">
      <c r="A12" s="8" t="s">
        <v>8</v>
      </c>
      <c r="B12" s="8" t="s">
        <v>291</v>
      </c>
      <c r="C12" s="8" t="s">
        <v>296</v>
      </c>
      <c r="D12" s="8" t="s">
        <v>309</v>
      </c>
    </row>
    <row r="13" spans="1:4" x14ac:dyDescent="0.25">
      <c r="A13" s="8" t="s">
        <v>9</v>
      </c>
      <c r="B13" s="8" t="s">
        <v>291</v>
      </c>
      <c r="C13" s="8" t="s">
        <v>310</v>
      </c>
      <c r="D13" s="8" t="s">
        <v>311</v>
      </c>
    </row>
    <row r="14" spans="1:4" x14ac:dyDescent="0.25">
      <c r="A14" s="8" t="s">
        <v>10</v>
      </c>
      <c r="B14" s="8" t="s">
        <v>291</v>
      </c>
      <c r="C14" s="8" t="s">
        <v>296</v>
      </c>
      <c r="D14" s="8" t="s">
        <v>312</v>
      </c>
    </row>
    <row r="15" spans="1:4" x14ac:dyDescent="0.25">
      <c r="A15" s="8" t="s">
        <v>11</v>
      </c>
      <c r="B15" s="8" t="s">
        <v>302</v>
      </c>
      <c r="C15" s="8" t="s">
        <v>313</v>
      </c>
      <c r="D15" s="8" t="s">
        <v>314</v>
      </c>
    </row>
    <row r="16" spans="1:4" x14ac:dyDescent="0.25">
      <c r="A16" s="8" t="s">
        <v>12</v>
      </c>
      <c r="B16" s="8" t="s">
        <v>302</v>
      </c>
      <c r="C16" s="8" t="s">
        <v>315</v>
      </c>
      <c r="D16" s="8" t="s">
        <v>316</v>
      </c>
    </row>
    <row r="17" spans="1:4" x14ac:dyDescent="0.25">
      <c r="A17" s="8" t="s">
        <v>13</v>
      </c>
      <c r="B17" s="8" t="s">
        <v>302</v>
      </c>
      <c r="C17" s="8" t="s">
        <v>317</v>
      </c>
      <c r="D17" s="8" t="s">
        <v>318</v>
      </c>
    </row>
    <row r="18" spans="1:4" x14ac:dyDescent="0.25">
      <c r="A18" s="8" t="s">
        <v>14</v>
      </c>
      <c r="B18" s="8" t="s">
        <v>302</v>
      </c>
      <c r="C18" s="8" t="s">
        <v>319</v>
      </c>
      <c r="D18" s="8" t="s">
        <v>320</v>
      </c>
    </row>
    <row r="19" spans="1:4" x14ac:dyDescent="0.25">
      <c r="A19" s="8" t="s">
        <v>15</v>
      </c>
      <c r="B19" s="8" t="s">
        <v>302</v>
      </c>
      <c r="C19" s="8" t="s">
        <v>319</v>
      </c>
      <c r="D19" s="8" t="s">
        <v>321</v>
      </c>
    </row>
    <row r="20" spans="1:4" x14ac:dyDescent="0.25">
      <c r="A20" s="8" t="s">
        <v>16</v>
      </c>
      <c r="B20" s="8" t="s">
        <v>264</v>
      </c>
      <c r="C20" s="8" t="s">
        <v>322</v>
      </c>
      <c r="D20" s="8" t="s">
        <v>323</v>
      </c>
    </row>
    <row r="21" spans="1:4" x14ac:dyDescent="0.25">
      <c r="A21" s="8" t="s">
        <v>17</v>
      </c>
      <c r="B21" s="8" t="s">
        <v>302</v>
      </c>
      <c r="C21" s="8" t="s">
        <v>324</v>
      </c>
      <c r="D21" s="8" t="s">
        <v>325</v>
      </c>
    </row>
    <row r="22" spans="1:4" x14ac:dyDescent="0.25">
      <c r="A22" s="8" t="s">
        <v>18</v>
      </c>
      <c r="B22" s="8" t="s">
        <v>291</v>
      </c>
      <c r="C22" s="8" t="s">
        <v>326</v>
      </c>
      <c r="D22" s="8" t="s">
        <v>327</v>
      </c>
    </row>
    <row r="23" spans="1:4" x14ac:dyDescent="0.25">
      <c r="A23" s="8" t="s">
        <v>19</v>
      </c>
      <c r="B23" s="8" t="s">
        <v>302</v>
      </c>
      <c r="C23" s="8" t="s">
        <v>328</v>
      </c>
      <c r="D23" s="8" t="s">
        <v>329</v>
      </c>
    </row>
    <row r="24" spans="1:4" ht="30" x14ac:dyDescent="0.25">
      <c r="A24" s="8" t="s">
        <v>361</v>
      </c>
      <c r="B24" s="8" t="s">
        <v>302</v>
      </c>
      <c r="C24" s="8" t="s">
        <v>368</v>
      </c>
      <c r="D24" s="8" t="s">
        <v>371</v>
      </c>
    </row>
    <row r="25" spans="1:4" ht="30" x14ac:dyDescent="0.25">
      <c r="A25" s="8" t="s">
        <v>362</v>
      </c>
      <c r="B25" s="8" t="s">
        <v>291</v>
      </c>
      <c r="C25" s="8" t="s">
        <v>369</v>
      </c>
      <c r="D25" s="8" t="s">
        <v>370</v>
      </c>
    </row>
    <row r="26" spans="1:4" x14ac:dyDescent="0.25">
      <c r="A26" s="8" t="s">
        <v>20</v>
      </c>
      <c r="B26" s="8" t="s">
        <v>302</v>
      </c>
      <c r="C26" s="8" t="s">
        <v>328</v>
      </c>
      <c r="D26" s="8" t="s">
        <v>330</v>
      </c>
    </row>
    <row r="27" spans="1:4" x14ac:dyDescent="0.25">
      <c r="A27" s="8" t="s">
        <v>21</v>
      </c>
      <c r="B27" s="8" t="s">
        <v>302</v>
      </c>
      <c r="C27" s="8" t="s">
        <v>328</v>
      </c>
      <c r="D27" s="8" t="s">
        <v>331</v>
      </c>
    </row>
    <row r="28" spans="1:4" x14ac:dyDescent="0.25">
      <c r="A28" s="8" t="s">
        <v>22</v>
      </c>
      <c r="B28" s="8" t="s">
        <v>291</v>
      </c>
      <c r="C28" s="8" t="s">
        <v>332</v>
      </c>
      <c r="D28" s="8" t="s">
        <v>333</v>
      </c>
    </row>
    <row r="29" spans="1:4" x14ac:dyDescent="0.25">
      <c r="A29" s="8" t="s">
        <v>23</v>
      </c>
      <c r="B29" s="8" t="s">
        <v>291</v>
      </c>
      <c r="C29" s="8" t="s">
        <v>296</v>
      </c>
      <c r="D29" s="8" t="s">
        <v>334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Participantes</vt:lpstr>
      <vt:lpstr>Estadísticas</vt:lpstr>
      <vt:lpstr>Diccionario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PS</cp:lastModifiedBy>
  <dcterms:created xsi:type="dcterms:W3CDTF">2025-11-21T22:19:28Z</dcterms:created>
  <dcterms:modified xsi:type="dcterms:W3CDTF">2026-04-05T14:01:39Z</dcterms:modified>
</cp:coreProperties>
</file>